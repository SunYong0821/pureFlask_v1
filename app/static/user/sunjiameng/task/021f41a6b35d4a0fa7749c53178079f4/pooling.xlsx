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 20190328-001 MiseqPE250 - 外包测序1个run\"/>
    </mc:Choice>
  </mc:AlternateContent>
  <xr:revisionPtr revIDLastSave="0" documentId="13_ncr:1_{B3D551E4-FD9D-46E7-8C16-D4318E1AC870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externalReferences>
    <externalReference r:id="rId2"/>
  </externalReferences>
  <calcPr calcId="18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<sst xmlns="http://schemas.openxmlformats.org/spreadsheetml/2006/main" count="73" uniqueCount="46">
  <si>
    <t>测序任务单名称</t>
  </si>
  <si>
    <t>样本名称</t>
  </si>
  <si>
    <t>样本编号</t>
  </si>
  <si>
    <t>文库类型</t>
  </si>
  <si>
    <t>测序类型</t>
  </si>
  <si>
    <t xml:space="preserve">数据量G Raw data </t>
  </si>
  <si>
    <t>i7序列</t>
  </si>
  <si>
    <t>文库号</t>
  </si>
  <si>
    <t>浓度</t>
  </si>
  <si>
    <t>片段大小</t>
  </si>
  <si>
    <t>基准片段</t>
  </si>
  <si>
    <t>转换系数</t>
  </si>
  <si>
    <t>转换浓度</t>
  </si>
  <si>
    <t>稀释倍数</t>
  </si>
  <si>
    <t>稀释浓度</t>
  </si>
  <si>
    <t>混合体积</t>
  </si>
  <si>
    <t>混合量</t>
  </si>
  <si>
    <t>混合总体积</t>
  </si>
  <si>
    <t>混合总量</t>
  </si>
  <si>
    <t>混合浓度</t>
  </si>
  <si>
    <t>PoolingID</t>
  </si>
  <si>
    <t>Pooling总量</t>
  </si>
  <si>
    <t>Pooling体积</t>
  </si>
  <si>
    <t>Pooling浓度</t>
  </si>
  <si>
    <t>KC190321-002  MAKF190307011-金则医学10个自建库样本测序及质控技术服务（委托）合同-1期10例-外来文库-库检</t>
  </si>
  <si>
    <t>S006D O1</t>
  </si>
  <si>
    <t>CHFPE190321001</t>
  </si>
  <si>
    <t>S006D O2</t>
  </si>
  <si>
    <t>CHFPE190321002</t>
  </si>
  <si>
    <t>S006D O3</t>
  </si>
  <si>
    <t>CHFPE190321003</t>
  </si>
  <si>
    <t>S006D O4</t>
  </si>
  <si>
    <t>CHFPE190321004</t>
  </si>
  <si>
    <t>S006D O5</t>
  </si>
  <si>
    <t>CHFPE190321005</t>
  </si>
  <si>
    <t>S006D O6</t>
  </si>
  <si>
    <t>CHFPE190321006</t>
  </si>
  <si>
    <t>S006D S79P</t>
  </si>
  <si>
    <t>CHFPE190321007</t>
  </si>
  <si>
    <t>S006 H1</t>
  </si>
  <si>
    <t>CHFPE190321008</t>
  </si>
  <si>
    <t>S006 H2</t>
  </si>
  <si>
    <t>CHFPE190321009</t>
  </si>
  <si>
    <t>S006 H3</t>
  </si>
  <si>
    <t>CHFPE190321010</t>
  </si>
  <si>
    <t>（自建库）动植物扩增子文库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</si>
</sst>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4;&#39564;&#37096;/&#27979;&#24207;&#32452;/&#25991;&#24211;&#20132;&#25509;&#34920;/MAG-DC-EPD-SQT-R03-018%20%20Pooling&amp;&#24453;&#19978;&#26426;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oling"/>
      <sheetName val="上机异常"/>
    </sheetNames>
    <sheetDataSet>
      <sheetData sheetId="0">
        <row r="586">
          <cell r="E586" t="str">
            <v>CHFPE190321001</v>
          </cell>
          <cell r="L586" t="str">
            <v>745/480/2240</v>
          </cell>
          <cell r="Y586">
            <v>141.53081718511379</v>
          </cell>
        </row>
        <row r="587">
          <cell r="E587" t="str">
            <v>CHFPE190321002</v>
          </cell>
          <cell r="L587" t="str">
            <v>765/491/2285</v>
          </cell>
          <cell r="Y587">
            <v>164.92621984043677</v>
          </cell>
        </row>
        <row r="588">
          <cell r="E588" t="str">
            <v>CHFPE190321003</v>
          </cell>
          <cell r="L588" t="str">
            <v>488/778</v>
          </cell>
          <cell r="Y588">
            <v>241.31250601088266</v>
          </cell>
        </row>
        <row r="589">
          <cell r="E589" t="str">
            <v>CHFPE190321004</v>
          </cell>
          <cell r="L589" t="str">
            <v>747/487/297</v>
          </cell>
          <cell r="Y589">
            <v>156.83018788242896</v>
          </cell>
        </row>
        <row r="590">
          <cell r="E590" t="str">
            <v>CHFPE190321005</v>
          </cell>
          <cell r="L590" t="str">
            <v>747/493</v>
          </cell>
          <cell r="Y590">
            <v>231.28183787892911</v>
          </cell>
        </row>
        <row r="591">
          <cell r="E591" t="str">
            <v>CHFPE190321006</v>
          </cell>
          <cell r="L591" t="str">
            <v>744/491</v>
          </cell>
          <cell r="Y591">
            <v>164.17340577806112</v>
          </cell>
        </row>
        <row r="592">
          <cell r="E592" t="str">
            <v>CHFPE190321007</v>
          </cell>
          <cell r="L592" t="str">
            <v>497/754/222</v>
          </cell>
          <cell r="Y592">
            <v>218.98579540873618</v>
          </cell>
        </row>
        <row r="593">
          <cell r="E593" t="str">
            <v>CHFPE190321008</v>
          </cell>
          <cell r="L593" t="str">
            <v>743/490</v>
          </cell>
          <cell r="Y593">
            <v>58.644411199739451</v>
          </cell>
        </row>
        <row r="594">
          <cell r="E594" t="str">
            <v>CHFPE190321009</v>
          </cell>
          <cell r="L594" t="str">
            <v>744/487/2223</v>
          </cell>
          <cell r="Y594">
            <v>130.31279074667239</v>
          </cell>
        </row>
        <row r="595">
          <cell r="E595" t="str">
            <v>CHFPE190321010</v>
          </cell>
          <cell r="L595" t="str">
            <v>743/484</v>
          </cell>
          <cell r="Y595">
            <v>178.00771177689097</v>
          </cell>
        </row>
        <row r="596">
          <cell r="E596" t="str">
            <v>CHFPE190322001</v>
          </cell>
          <cell r="L596" t="str">
            <v>969/646</v>
          </cell>
          <cell r="Y596">
            <v>84.809862458511475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topLeftCell="B1" workbookViewId="0">
      <selection activeCell="J14" sqref="J14"/>
    </sheetView>
  </sheetViews>
  <sheetFormatPr defaultRowHeight="13.5" x14ac:dyDescent="0.15"/>
  <cols>
    <col min="1" max="1" width="109.125" bestFit="1" customWidth="1"/>
    <col min="2" max="2" width="11.625" bestFit="1" customWidth="1"/>
    <col min="3" max="3" width="16.125" bestFit="1" customWidth="1"/>
    <col min="4" max="4" width="27.625" bestFit="1" customWidth="1"/>
    <col min="5" max="5" width="13.875" bestFit="1" customWidth="1"/>
    <col min="6" max="6" width="21.25" bestFit="1" customWidth="1"/>
    <col min="8" max="8" width="16.125" bestFit="1" customWidth="1"/>
    <col min="10" max="10" width="13.875" bestFit="1" customWidth="1"/>
    <col min="21" max="21" width="16.125" bestFit="1" customWidth="1"/>
  </cols>
  <sheetData>
    <row r="1" spans="1:24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15">
      <c r="A2" t="s">
        <v>24</v>
      </c>
      <c r="B2" t="s">
        <v>25</v>
      </c>
      <c r="C2" t="s">
        <v>26</v>
      </c>
      <c r="D2" t="s">
        <v>45</v>
      </c>
      <c r="E2">
        <v>1</v>
      </c>
      <c r="F2">
        <v>1</v>
      </c>
      <c r="H2" t="s">
        <v>26</v>
      </c>
      <c r="I2">
        <f>VLOOKUP(C2,[1]pooling!$E$586:$Y$596,21,0)</f>
        <v>141.53081718511379</v>
      </c>
      <c r="J2">
        <v>550</v>
      </c>
    </row>
    <row r="3" spans="1:24" x14ac:dyDescent="0.15">
      <c r="A3" t="s">
        <v>24</v>
      </c>
      <c r="B3" t="s">
        <v>27</v>
      </c>
      <c r="C3" t="s">
        <v>28</v>
      </c>
      <c r="D3" t="s">
        <v>45</v>
      </c>
      <c r="E3">
        <v>1</v>
      </c>
      <c r="F3">
        <v>1</v>
      </c>
      <c r="H3" t="s">
        <v>28</v>
      </c>
      <c r="I3">
        <f>VLOOKUP(C3,[1]pooling!$E$586:$Y$596,21,0)</f>
        <v>164.92621984043677</v>
      </c>
      <c r="J3">
        <v>550</v>
      </c>
    </row>
    <row r="4" spans="1:24" x14ac:dyDescent="0.15">
      <c r="A4" t="s">
        <v>24</v>
      </c>
      <c r="B4" t="s">
        <v>29</v>
      </c>
      <c r="C4" t="s">
        <v>30</v>
      </c>
      <c r="D4" t="s">
        <v>45</v>
      </c>
      <c r="E4">
        <v>1</v>
      </c>
      <c r="F4">
        <v>1</v>
      </c>
      <c r="H4" t="s">
        <v>30</v>
      </c>
      <c r="I4">
        <f>VLOOKUP(C4,[1]pooling!$E$586:$Y$596,21,0)</f>
        <v>241.31250601088266</v>
      </c>
      <c r="J4">
        <v>550</v>
      </c>
    </row>
    <row r="5" spans="1:24" x14ac:dyDescent="0.15">
      <c r="A5" t="s">
        <v>24</v>
      </c>
      <c r="B5" t="s">
        <v>31</v>
      </c>
      <c r="C5" t="s">
        <v>32</v>
      </c>
      <c r="D5" t="s">
        <v>45</v>
      </c>
      <c r="E5">
        <v>1</v>
      </c>
      <c r="F5">
        <v>1</v>
      </c>
      <c r="H5" t="s">
        <v>32</v>
      </c>
      <c r="I5">
        <f>VLOOKUP(C5,[1]pooling!$E$586:$Y$596,21,0)</f>
        <v>156.83018788242896</v>
      </c>
      <c r="J5">
        <v>530</v>
      </c>
    </row>
    <row r="6" spans="1:24" x14ac:dyDescent="0.15">
      <c r="A6" t="s">
        <v>24</v>
      </c>
      <c r="B6" t="s">
        <v>33</v>
      </c>
      <c r="C6" t="s">
        <v>34</v>
      </c>
      <c r="D6" t="s">
        <v>45</v>
      </c>
      <c r="E6">
        <v>1</v>
      </c>
      <c r="F6">
        <v>1</v>
      </c>
      <c r="H6" t="s">
        <v>34</v>
      </c>
      <c r="I6">
        <f>VLOOKUP(C6,[1]pooling!$E$586:$Y$596,21,0)</f>
        <v>231.28183787892911</v>
      </c>
      <c r="J6">
        <v>550</v>
      </c>
    </row>
    <row r="7" spans="1:24" x14ac:dyDescent="0.15">
      <c r="A7" t="s">
        <v>24</v>
      </c>
      <c r="B7" t="s">
        <v>35</v>
      </c>
      <c r="C7" t="s">
        <v>36</v>
      </c>
      <c r="D7" t="s">
        <v>45</v>
      </c>
      <c r="E7">
        <v>1</v>
      </c>
      <c r="F7">
        <v>1</v>
      </c>
      <c r="H7" t="s">
        <v>36</v>
      </c>
      <c r="I7">
        <f>VLOOKUP(C7,[1]pooling!$E$586:$Y$596,21,0)</f>
        <v>164.17340577806112</v>
      </c>
      <c r="J7">
        <v>550</v>
      </c>
    </row>
    <row r="8" spans="1:24" x14ac:dyDescent="0.15">
      <c r="A8" t="s">
        <v>24</v>
      </c>
      <c r="B8" t="s">
        <v>37</v>
      </c>
      <c r="C8" t="s">
        <v>38</v>
      </c>
      <c r="D8" t="s">
        <v>45</v>
      </c>
      <c r="E8">
        <v>1</v>
      </c>
      <c r="F8">
        <v>1</v>
      </c>
      <c r="H8" t="s">
        <v>38</v>
      </c>
      <c r="I8">
        <f>VLOOKUP(C8,[1]pooling!$E$586:$Y$596,21,0)</f>
        <v>218.98579540873618</v>
      </c>
      <c r="J8">
        <v>530</v>
      </c>
    </row>
    <row r="9" spans="1:24" x14ac:dyDescent="0.15">
      <c r="A9" t="s">
        <v>24</v>
      </c>
      <c r="B9" t="s">
        <v>39</v>
      </c>
      <c r="C9" t="s">
        <v>40</v>
      </c>
      <c r="D9" t="s">
        <v>45</v>
      </c>
      <c r="E9">
        <v>1</v>
      </c>
      <c r="F9">
        <v>1</v>
      </c>
      <c r="H9" t="s">
        <v>40</v>
      </c>
      <c r="I9">
        <f>VLOOKUP(C9,[1]pooling!$E$586:$Y$596,21,0)</f>
        <v>58.644411199739451</v>
      </c>
      <c r="J9">
        <v>550</v>
      </c>
    </row>
    <row r="10" spans="1:24" x14ac:dyDescent="0.15">
      <c r="A10" t="s">
        <v>24</v>
      </c>
      <c r="B10" t="s">
        <v>41</v>
      </c>
      <c r="C10" t="s">
        <v>42</v>
      </c>
      <c r="D10" t="s">
        <v>45</v>
      </c>
      <c r="E10">
        <v>1</v>
      </c>
      <c r="F10">
        <v>1</v>
      </c>
      <c r="H10" t="s">
        <v>42</v>
      </c>
      <c r="I10">
        <f>VLOOKUP(C10,[1]pooling!$E$586:$Y$596,21,0)</f>
        <v>130.31279074667239</v>
      </c>
      <c r="J10">
        <v>580</v>
      </c>
    </row>
    <row r="11" spans="1:24" x14ac:dyDescent="0.15">
      <c r="A11" t="s">
        <v>24</v>
      </c>
      <c r="B11" t="s">
        <v>43</v>
      </c>
      <c r="C11" t="s">
        <v>44</v>
      </c>
      <c r="D11" t="s">
        <v>45</v>
      </c>
      <c r="E11">
        <v>1</v>
      </c>
      <c r="F11">
        <v>1</v>
      </c>
      <c r="I11">
        <f>VLOOKUP(C11,[1]pooling!$E$586:$Y$596,21,0)</f>
        <v>178.00771177689097</v>
      </c>
      <c r="J11">
        <v>580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Qsep</cp:lastModifiedBy>
  <dcterms:created xsi:type="dcterms:W3CDTF">2019-03-28T14:30:55Z</dcterms:created>
  <dcterms:modified xsi:type="dcterms:W3CDTF">2019-03-28T08:19:11Z</dcterms:modified>
</cp:coreProperties>
</file>