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30-001 miseq 散样\"/>
    </mc:Choice>
  </mc:AlternateContent>
  <xr:revisionPtr revIDLastSave="0" documentId="13_ncr:1_{DADA191D-3E67-4816-9A9E-164438041156}" xr6:coauthVersionLast="40" xr6:coauthVersionMax="40" xr10:uidLastSave="{00000000-0000-0000-0000-000000000000}"/>
  <bookViews>
    <workbookView xWindow="0" yWindow="0" windowWidth="22485" windowHeight="9345" activeTab="2" xr2:uid="{00000000-000D-0000-FFFF-FFFF00000000}"/>
  </bookViews>
  <sheets>
    <sheet name="lane1" sheetId="7" r:id="rId1"/>
    <sheet name="lane2" sheetId="9" r:id="rId2"/>
    <sheet name="lane3" sheetId="10" r:id="rId3"/>
  </sheets>
  <externalReferences>
    <externalReference r:id="rId4"/>
  </externalReferences>
  <definedNames>
    <definedName name="_xlnm._FilterDatabase" localSheetId="0" hidden="1">lane1!$I$1:$I$66</definedName>
  </definedNames>
  <calcPr calcId="191029"/>
</workbook>
</file>

<file path=xl/calcChain.xml><?xml version="1.0" encoding="utf-8"?>
<calcChain xmlns="http://schemas.openxmlformats.org/spreadsheetml/2006/main">
  <c r="J13" i="9" l="1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2" i="7"/>
  <c r="J2" i="7"/>
  <c r="I48" i="7"/>
  <c r="J48" i="7"/>
  <c r="I10" i="7"/>
  <c r="J10" i="7"/>
  <c r="I11" i="7"/>
  <c r="J11" i="7"/>
  <c r="I3" i="7"/>
  <c r="J3" i="7"/>
  <c r="I4" i="7"/>
  <c r="J4" i="7"/>
  <c r="I12" i="7"/>
  <c r="J12" i="7"/>
  <c r="I13" i="7"/>
  <c r="J13" i="7"/>
  <c r="I14" i="7"/>
  <c r="J14" i="7"/>
  <c r="I15" i="7"/>
  <c r="J15" i="7"/>
  <c r="I5" i="7"/>
  <c r="J5" i="7"/>
  <c r="I6" i="7"/>
  <c r="J6" i="7"/>
  <c r="I16" i="7"/>
  <c r="J16" i="7"/>
  <c r="I17" i="7"/>
  <c r="J17" i="7"/>
  <c r="I18" i="7"/>
  <c r="J18" i="7"/>
  <c r="I7" i="7"/>
  <c r="J7" i="7"/>
  <c r="I8" i="7"/>
  <c r="J8" i="7"/>
  <c r="I19" i="7"/>
  <c r="J19" i="7"/>
  <c r="I20" i="7"/>
  <c r="J20" i="7"/>
  <c r="I21" i="7"/>
  <c r="J21" i="7"/>
  <c r="I22" i="7"/>
  <c r="J22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" i="7"/>
  <c r="J9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</calcChain>
</file>

<file path=xl/sharedStrings.xml><?xml version="1.0" encoding="utf-8"?>
<sst xmlns="http://schemas.openxmlformats.org/spreadsheetml/2006/main" count="825" uniqueCount="586">
  <si>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</si>
  <si>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</si>
  <si>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</si>
  <si>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</si>
  <si>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</si>
  <si>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</si>
  <si>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</si>
  <si>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</si>
  <si>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浓度</t>
    <phoneticPr fontId="2" type="noConversion"/>
  </si>
  <si>
    <t>大小</t>
    <phoneticPr fontId="2" type="noConversion"/>
  </si>
  <si>
    <t>KC190108-004 MAKF181130015-川农36个基质样本的ITS区域扩增子测序分析-1期9例-ITS1-测序分析</t>
  </si>
  <si>
    <t>KC190108-005 MAKF181217011-湖北中医药大学25个大鼠粪便样本的16S区域扩增子测序分析-1期25例-16sV3-V4-测序分析</t>
  </si>
  <si>
    <t>KC190109-001 MAKF181105011-河北农业大学20个土壤样本的16S区域扩增子测序分析技术服务（委托）合同-1期20例-16sV3-V4-测序分析任务单</t>
  </si>
  <si>
    <t>KC181218-004 MAKF181116017-辽宁大学生命科学院50个杂色山雀粪便样本的16S区域扩增子测序分析-1期4例-16sV3-V4-测序分析-3例加测</t>
  </si>
  <si>
    <t>KC190122-009  MAKF181116016-昆明汉领生物300个小鼠粪便和发酵液样本的16SITS18S区域扩增子测序分析技术服务（委托）合同-2期3例-ITS1-测序分析</t>
  </si>
  <si>
    <t>KC190126-001 MAKF181112011-省农科院500个样本的16S区域扩增子测序分析技术服务（委托）合同-3期31例-16sV3-V4-测序分析任务单</t>
  </si>
  <si>
    <t>KC190126-002 MAKF181229011-浙大93个样本的16S区域扩增子建库测序技术服务（委托）合同-2期11例-16sV4-V5-测序分析任务单</t>
  </si>
  <si>
    <t>LZ1-1</t>
  </si>
  <si>
    <t>HFED181223001A</t>
  </si>
  <si>
    <t>LZ1-2</t>
  </si>
  <si>
    <t>HFED181223002A</t>
  </si>
  <si>
    <t>LZ1-3</t>
  </si>
  <si>
    <t>HFED181223003A</t>
  </si>
  <si>
    <t>LZ3-1</t>
  </si>
  <si>
    <t>HFED181223004A</t>
  </si>
  <si>
    <t>LZ3-2</t>
  </si>
  <si>
    <t>HFED181223005A</t>
  </si>
  <si>
    <t>LZ3-3</t>
  </si>
  <si>
    <t>HFED181223006A</t>
  </si>
  <si>
    <t>LZ5-1</t>
  </si>
  <si>
    <t>HFED181223007A</t>
  </si>
  <si>
    <t>LZ5-2</t>
  </si>
  <si>
    <t>HFED181223008A</t>
  </si>
  <si>
    <t>LZ5-3</t>
  </si>
  <si>
    <t>HFED181223009A</t>
  </si>
  <si>
    <t>1-1</t>
  </si>
  <si>
    <t>HFED181224005A</t>
  </si>
  <si>
    <t>1-2</t>
  </si>
  <si>
    <t>HFED181224006A</t>
  </si>
  <si>
    <t>1-3</t>
  </si>
  <si>
    <t>HFED181224007A</t>
  </si>
  <si>
    <t>1-4</t>
  </si>
  <si>
    <t>HFED181224008A</t>
  </si>
  <si>
    <t>1-5</t>
  </si>
  <si>
    <t>HFED181224009A</t>
  </si>
  <si>
    <t>2-1</t>
  </si>
  <si>
    <t>HFED181224010A</t>
  </si>
  <si>
    <t>2-2</t>
  </si>
  <si>
    <t>HFED181224011A</t>
  </si>
  <si>
    <t>2-3</t>
  </si>
  <si>
    <t>HFED181224012A</t>
  </si>
  <si>
    <t>2-4</t>
  </si>
  <si>
    <t>HFED181224013A</t>
  </si>
  <si>
    <t>2-5</t>
  </si>
  <si>
    <t>HFED181224014A</t>
  </si>
  <si>
    <t>3-1</t>
  </si>
  <si>
    <t>HFED181224015A</t>
  </si>
  <si>
    <t>3-2</t>
  </si>
  <si>
    <t>HFED181224016A</t>
  </si>
  <si>
    <t>3-3</t>
  </si>
  <si>
    <t>HFED181224017A</t>
  </si>
  <si>
    <t>3-4</t>
  </si>
  <si>
    <t>HFED181224018A</t>
  </si>
  <si>
    <t>3-5</t>
  </si>
  <si>
    <t>HFED181224019A</t>
  </si>
  <si>
    <t>4-1</t>
  </si>
  <si>
    <t>HFED181224020A</t>
  </si>
  <si>
    <t>4-2</t>
  </si>
  <si>
    <t>HFED181224021A</t>
  </si>
  <si>
    <t>4-3</t>
  </si>
  <si>
    <t>HFED181224022A</t>
  </si>
  <si>
    <t>4-4</t>
  </si>
  <si>
    <t>HFED181224023A</t>
  </si>
  <si>
    <t>4-5</t>
  </si>
  <si>
    <t>HFED181224024A</t>
  </si>
  <si>
    <t>5-1</t>
  </si>
  <si>
    <t>HFED181224025A</t>
  </si>
  <si>
    <t>5-2</t>
  </si>
  <si>
    <t>HFED181224026A</t>
  </si>
  <si>
    <t>5-3</t>
  </si>
  <si>
    <t>HFED181224027A</t>
  </si>
  <si>
    <t>5-4</t>
  </si>
  <si>
    <t>HFED181224028A</t>
  </si>
  <si>
    <t>5-5</t>
  </si>
  <si>
    <t>HFED181224029A</t>
  </si>
  <si>
    <t>HFED181116004A</t>
  </si>
  <si>
    <t>HFED181220003A</t>
  </si>
  <si>
    <t>HFED181129002A</t>
  </si>
  <si>
    <t>HFED181129003A</t>
  </si>
  <si>
    <t>HFED181116009A</t>
  </si>
  <si>
    <t>HFED181116010A</t>
  </si>
  <si>
    <t>HFED181129004A</t>
  </si>
  <si>
    <t>HFED181129005A</t>
  </si>
  <si>
    <t>HFED181129006A</t>
  </si>
  <si>
    <t>HFED181129007A</t>
  </si>
  <si>
    <t>HFED181116016A</t>
  </si>
  <si>
    <t>HFED181116017A</t>
  </si>
  <si>
    <t>HFED181129008A</t>
  </si>
  <si>
    <t>HFED181129009A</t>
  </si>
  <si>
    <t>HFED181129010A</t>
  </si>
  <si>
    <t>HFED181116021A</t>
  </si>
  <si>
    <t>HFED181116022A</t>
  </si>
  <si>
    <t>HFED181129011A</t>
  </si>
  <si>
    <t>HFED181129012A</t>
  </si>
  <si>
    <t>HFED181129013A</t>
  </si>
  <si>
    <t>Z7</t>
  </si>
  <si>
    <t>HFED181211007A</t>
  </si>
  <si>
    <t>f-3</t>
  </si>
  <si>
    <t>HFED190111005A</t>
  </si>
  <si>
    <t>f-0</t>
  </si>
  <si>
    <t>HFED181224002A</t>
  </si>
  <si>
    <t>f-2</t>
  </si>
  <si>
    <t>HFED181224004A</t>
  </si>
  <si>
    <t>WHF013</t>
  </si>
  <si>
    <t>HF190111037</t>
  </si>
  <si>
    <t>WHF014</t>
  </si>
  <si>
    <t>HF190111038</t>
  </si>
  <si>
    <t>WHF015</t>
  </si>
  <si>
    <t>HF190111039</t>
  </si>
  <si>
    <t>WHF016</t>
  </si>
  <si>
    <t>HF190111040</t>
  </si>
  <si>
    <t>WHF017</t>
  </si>
  <si>
    <t>HF190111041</t>
  </si>
  <si>
    <t>WHF018</t>
  </si>
  <si>
    <t>HF190111042</t>
  </si>
  <si>
    <t>WHLST013</t>
  </si>
  <si>
    <t>HF190111043</t>
  </si>
  <si>
    <t>WHLST014</t>
  </si>
  <si>
    <t>HF190111044</t>
  </si>
  <si>
    <t>WHLST015</t>
  </si>
  <si>
    <t>HF190111045</t>
  </si>
  <si>
    <t>WHLST016</t>
  </si>
  <si>
    <t>HF190111046</t>
  </si>
  <si>
    <t>WHLST017</t>
  </si>
  <si>
    <t>HF190111047</t>
  </si>
  <si>
    <t>WHLST018</t>
  </si>
  <si>
    <t>HF190111048</t>
  </si>
  <si>
    <t>WHLE013</t>
  </si>
  <si>
    <t>HF190111049</t>
  </si>
  <si>
    <t>WHLE014</t>
  </si>
  <si>
    <t>HF190111050</t>
  </si>
  <si>
    <t>WHLE015</t>
  </si>
  <si>
    <t>HF190111051</t>
  </si>
  <si>
    <t>WHLE016</t>
  </si>
  <si>
    <t>HF190111052</t>
  </si>
  <si>
    <t>WHLE017</t>
  </si>
  <si>
    <t>HF190111053</t>
  </si>
  <si>
    <t>WHLE018</t>
  </si>
  <si>
    <t>HF190111054</t>
  </si>
  <si>
    <t>WHLM013</t>
  </si>
  <si>
    <t>HF190111055</t>
  </si>
  <si>
    <t>WHLM014</t>
  </si>
  <si>
    <t>HF190111056</t>
  </si>
  <si>
    <t>WHLM015</t>
  </si>
  <si>
    <t>HF190111057</t>
  </si>
  <si>
    <t>WHLM016</t>
  </si>
  <si>
    <t>HF190111058</t>
  </si>
  <si>
    <t>WHLM017</t>
  </si>
  <si>
    <t>HF190111059</t>
  </si>
  <si>
    <t>WHLM018</t>
  </si>
  <si>
    <t>HF190111060</t>
  </si>
  <si>
    <t>WHP013</t>
  </si>
  <si>
    <t>HF190111061</t>
  </si>
  <si>
    <t>WHP014</t>
  </si>
  <si>
    <t>HF190111062</t>
  </si>
  <si>
    <t>WHP015</t>
  </si>
  <si>
    <t>HF190111063</t>
  </si>
  <si>
    <t>WHP016</t>
  </si>
  <si>
    <t>HF190111064</t>
  </si>
  <si>
    <t>WHP017</t>
  </si>
  <si>
    <t>HF190111065</t>
  </si>
  <si>
    <t>WHP018</t>
  </si>
  <si>
    <t>HF190111066</t>
  </si>
  <si>
    <t>LX-HN(混合)</t>
  </si>
  <si>
    <t>HF181119100</t>
  </si>
  <si>
    <t>j+m XJG-1</t>
  </si>
  <si>
    <t>HF181213005</t>
  </si>
  <si>
    <t>j+m XJG-2</t>
  </si>
  <si>
    <t>HF181213006</t>
  </si>
  <si>
    <t>m px 16</t>
  </si>
  <si>
    <t>HF181213010</t>
  </si>
  <si>
    <t>m XJG-1</t>
  </si>
  <si>
    <t>HF181213012</t>
  </si>
  <si>
    <t>m XJG-2</t>
  </si>
  <si>
    <t>HF181213013</t>
  </si>
  <si>
    <t>m+j XJG-1</t>
  </si>
  <si>
    <t>HF181213018</t>
  </si>
  <si>
    <t>m+j XJG-2</t>
  </si>
  <si>
    <t>HF181213019</t>
  </si>
  <si>
    <t>j XJG-1</t>
  </si>
  <si>
    <t>HF181213025</t>
  </si>
  <si>
    <t>j xXJG-2</t>
  </si>
  <si>
    <t>HF181213026</t>
  </si>
  <si>
    <t>Rj+m XJG-2</t>
  </si>
  <si>
    <t>HF181213032</t>
  </si>
  <si>
    <t>Rm XJG-2</t>
  </si>
  <si>
    <t>HF181213039</t>
  </si>
  <si>
    <t>ITS1</t>
  </si>
  <si>
    <t>16sV3-V4</t>
  </si>
  <si>
    <t>16S V3-V4</t>
  </si>
  <si>
    <t>16sV4-V5</t>
  </si>
  <si>
    <t>59-76</t>
  </si>
  <si>
    <t>60-76</t>
  </si>
  <si>
    <t>61-76</t>
  </si>
  <si>
    <t>62-76</t>
  </si>
  <si>
    <t>63-76</t>
  </si>
  <si>
    <t>64-76</t>
  </si>
  <si>
    <t>65-76</t>
  </si>
  <si>
    <t>66-76</t>
  </si>
  <si>
    <t>59-77</t>
  </si>
  <si>
    <t>87-138</t>
  </si>
  <si>
    <t>88-138</t>
  </si>
  <si>
    <t>89-138</t>
  </si>
  <si>
    <t>90-138</t>
  </si>
  <si>
    <t>91-138</t>
  </si>
  <si>
    <t>92-138</t>
  </si>
  <si>
    <t>93-138</t>
  </si>
  <si>
    <t>94-138</t>
  </si>
  <si>
    <t>87-141</t>
  </si>
  <si>
    <t>88-141</t>
  </si>
  <si>
    <t>89-141</t>
  </si>
  <si>
    <t>90-141</t>
  </si>
  <si>
    <t>91-141</t>
  </si>
  <si>
    <t>92-141</t>
  </si>
  <si>
    <t>93-141</t>
  </si>
  <si>
    <t>94-141</t>
  </si>
  <si>
    <t>87-142</t>
  </si>
  <si>
    <t>88-142</t>
  </si>
  <si>
    <t>89-142</t>
  </si>
  <si>
    <t>90-142</t>
  </si>
  <si>
    <t>91-142</t>
  </si>
  <si>
    <t>92-142</t>
  </si>
  <si>
    <t>93-142</t>
  </si>
  <si>
    <t>94-142</t>
  </si>
  <si>
    <t>95-142</t>
  </si>
  <si>
    <t>99-125</t>
  </si>
  <si>
    <t>108-138</t>
  </si>
  <si>
    <t>110-111</t>
  </si>
  <si>
    <t>90-112</t>
  </si>
  <si>
    <t>104-125</t>
  </si>
  <si>
    <t>105-125</t>
  </si>
  <si>
    <t>91-112</t>
  </si>
  <si>
    <t>92-112</t>
  </si>
  <si>
    <t>106-112</t>
  </si>
  <si>
    <t>107-112</t>
  </si>
  <si>
    <t>91-127</t>
  </si>
  <si>
    <t>92-127</t>
  </si>
  <si>
    <t>108-112</t>
  </si>
  <si>
    <t>109-112</t>
  </si>
  <si>
    <t>110-112</t>
  </si>
  <si>
    <t>88-128</t>
  </si>
  <si>
    <t>89-128</t>
  </si>
  <si>
    <t>108-113</t>
  </si>
  <si>
    <t>109-113</t>
  </si>
  <si>
    <t>110-113</t>
  </si>
  <si>
    <t>104-138</t>
  </si>
  <si>
    <t>63-77</t>
  </si>
  <si>
    <t>60-77</t>
  </si>
  <si>
    <t>62-77</t>
  </si>
  <si>
    <t>103-119</t>
  </si>
  <si>
    <t>104-119</t>
  </si>
  <si>
    <t>105-119</t>
  </si>
  <si>
    <t>106-119</t>
  </si>
  <si>
    <t>107-119</t>
  </si>
  <si>
    <t>108-119</t>
  </si>
  <si>
    <t>109-119</t>
  </si>
  <si>
    <t>110-119</t>
  </si>
  <si>
    <t>103-120</t>
  </si>
  <si>
    <t>104-120</t>
  </si>
  <si>
    <t>105-120</t>
  </si>
  <si>
    <t>106-120</t>
  </si>
  <si>
    <t>107-120</t>
  </si>
  <si>
    <t>108-120</t>
  </si>
  <si>
    <t>109-120</t>
  </si>
  <si>
    <t>110-120</t>
  </si>
  <si>
    <t>103-126</t>
  </si>
  <si>
    <t>104-126</t>
  </si>
  <si>
    <t>105-126</t>
  </si>
  <si>
    <t>106-126</t>
  </si>
  <si>
    <t>107-126</t>
  </si>
  <si>
    <t>108-126</t>
  </si>
  <si>
    <t>109-126</t>
  </si>
  <si>
    <t>110-126</t>
  </si>
  <si>
    <t>103-133</t>
  </si>
  <si>
    <t>104-133</t>
  </si>
  <si>
    <t>105-133</t>
  </si>
  <si>
    <t>106-133</t>
  </si>
  <si>
    <t>107-133</t>
  </si>
  <si>
    <t>108-133</t>
  </si>
  <si>
    <t>17-133</t>
  </si>
  <si>
    <t>89-134</t>
  </si>
  <si>
    <t>90-134</t>
  </si>
  <si>
    <t>92-134</t>
  </si>
  <si>
    <t>94-134</t>
  </si>
  <si>
    <t>87-133</t>
  </si>
  <si>
    <t>89-133</t>
  </si>
  <si>
    <t>90-133</t>
  </si>
  <si>
    <t>94-133</t>
  </si>
  <si>
    <t>87-120</t>
  </si>
  <si>
    <t>91-120</t>
  </si>
  <si>
    <t>88-119</t>
  </si>
  <si>
    <t>HFMET181226A3050-59-76</t>
  </si>
  <si>
    <t>HFMET181226A3051-60-76</t>
  </si>
  <si>
    <t>HFMET181226A3052-61-76</t>
  </si>
  <si>
    <t>HFMET181226A3053-62-76</t>
  </si>
  <si>
    <t>HFMET181226A3054-63-76</t>
  </si>
  <si>
    <t>HFMET181226A3055-64-76</t>
  </si>
  <si>
    <t>HFMET181226A3056-65-76</t>
  </si>
  <si>
    <t>HFMET181226A3057-66-76</t>
  </si>
  <si>
    <t>HFMET181226A3058-59-77</t>
  </si>
  <si>
    <t>HFMET181226A3024-87-138</t>
  </si>
  <si>
    <t>HFMET181226A3025-88-138</t>
  </si>
  <si>
    <t>HFMET181226A3026-89-138</t>
  </si>
  <si>
    <t>HFMET181226A3027-90-138</t>
  </si>
  <si>
    <t>HFMET181226A3028-91-138</t>
  </si>
  <si>
    <t>HFMET181226A3029-92-138</t>
  </si>
  <si>
    <t>HFMET181226A3030-93-138</t>
  </si>
  <si>
    <t>HFMET181226A3031-94-138</t>
  </si>
  <si>
    <t>HFMET181226A3032-87-141</t>
  </si>
  <si>
    <t>HFMET181226A3033-88-141</t>
  </si>
  <si>
    <t>HFMET181226A3034-89-141</t>
  </si>
  <si>
    <t>HFMET181226A3035-90-141</t>
  </si>
  <si>
    <t>HFMET181226A3036-91-141</t>
  </si>
  <si>
    <t>HFMET181226A3037-92-141</t>
  </si>
  <si>
    <t>HFMET181226A3038-93-141</t>
  </si>
  <si>
    <t>HFMET181226A3039-94-141</t>
  </si>
  <si>
    <t>HFMET181226A3040-87-142</t>
  </si>
  <si>
    <t>HFMET181226A3041-88-142</t>
  </si>
  <si>
    <t>HFMET181226A3042-89-142</t>
  </si>
  <si>
    <t>HFMET181226A3043-90-142</t>
  </si>
  <si>
    <t>HFMET181226A3044-91-142</t>
  </si>
  <si>
    <t>HFMET181226A3045-92-142</t>
  </si>
  <si>
    <t>HFMET181226A3046-93-142</t>
  </si>
  <si>
    <t>HFMET181226A3047-94-142</t>
  </si>
  <si>
    <t>HFMET181226A3048-95-142</t>
  </si>
  <si>
    <t>HFMET181118A2228-99-125</t>
  </si>
  <si>
    <t>HFMET181229A3063-108-138</t>
  </si>
  <si>
    <t>HFMET181204A2667-110-111</t>
  </si>
  <si>
    <t>HFMET181204A2668-90-112</t>
  </si>
  <si>
    <t>HFMET181118A2233-104-125</t>
  </si>
  <si>
    <t>HFMET181118A2234-105-125</t>
  </si>
  <si>
    <t>HFMET181204A2669-91-112</t>
  </si>
  <si>
    <t>HFMET181204A2670-92-112</t>
  </si>
  <si>
    <t>HFMET181204A2671-106-112</t>
  </si>
  <si>
    <t>HFMET181204A2672-107-112</t>
  </si>
  <si>
    <t>HFMET181118A2240-91-127</t>
  </si>
  <si>
    <t>HFMET181118A2241-92-127</t>
  </si>
  <si>
    <t>HFMET181204A2673-108-112</t>
  </si>
  <si>
    <t>HFMET181204A2674-109-112</t>
  </si>
  <si>
    <t>HFMET181204A2675-110-112</t>
  </si>
  <si>
    <t>HFMET181118A2245-88-128</t>
  </si>
  <si>
    <t>HFMET181118A2246-89-128</t>
  </si>
  <si>
    <t>HFMET181204A2676-108-113</t>
  </si>
  <si>
    <t>HFMET181204A2677-109-113</t>
  </si>
  <si>
    <t>HFMET181204A2678-110-113</t>
  </si>
  <si>
    <t>HFMET181213A2964-104-138</t>
  </si>
  <si>
    <t>HFMET190115A0155-63-77</t>
  </si>
  <si>
    <t>HFMET181226A3059-60-77</t>
  </si>
  <si>
    <t>HFMET181226A3061-62-77</t>
  </si>
  <si>
    <t>HFMET190115A0125-103-119</t>
  </si>
  <si>
    <t>HFMET190115A0126-104-119</t>
  </si>
  <si>
    <t>HFMET190115A0127-105-119</t>
  </si>
  <si>
    <t>HFMET190115A0128-106-119</t>
  </si>
  <si>
    <t>HFMET190115A0129-107-119</t>
  </si>
  <si>
    <t>HFMET190115A0130-108-119</t>
  </si>
  <si>
    <t>HFMET190115A0131-109-119</t>
  </si>
  <si>
    <t>HFMET190115A0132-110-119</t>
  </si>
  <si>
    <t>HFMET190115A0133-103-120</t>
  </si>
  <si>
    <t>HFMET190115A0134-104-120</t>
  </si>
  <si>
    <t>HFMET190115A0135-105-120</t>
  </si>
  <si>
    <t>HFMET190115A0136-106-120</t>
  </si>
  <si>
    <t>HFMET190115A0137-107-120</t>
  </si>
  <si>
    <t>HFMET190115A0138-108-120</t>
  </si>
  <si>
    <t>HFMET190115A0139-109-120</t>
  </si>
  <si>
    <t>HFMET190115A0140-110-120</t>
  </si>
  <si>
    <t>HFMET190115A0141-103-126</t>
  </si>
  <si>
    <t>HFMET190115A0142-104-126</t>
  </si>
  <si>
    <t>HFMET190115A0143-105-126</t>
  </si>
  <si>
    <t>HFMET190115A0144-106-126</t>
  </si>
  <si>
    <t>HFMET190115A0145-107-126</t>
  </si>
  <si>
    <t>HFMET190115A0146-108-126</t>
  </si>
  <si>
    <t>HFMET190115A0147-109-126</t>
  </si>
  <si>
    <t>HFMET190115A0148-110-126</t>
  </si>
  <si>
    <t>HFMET190115A0149-103-133</t>
  </si>
  <si>
    <t>HFMET190115A0150-104-133</t>
  </si>
  <si>
    <t>HFMET190115A0151-105-133</t>
  </si>
  <si>
    <t>HFMET190115A0152-106-133</t>
  </si>
  <si>
    <t>HFMET190115A0153-107-133</t>
  </si>
  <si>
    <t>HFMET190115A0154-108-133</t>
  </si>
  <si>
    <t>HFMET181123A2581-17-133</t>
  </si>
  <si>
    <t>HFMET190110A0091-89-134</t>
  </si>
  <si>
    <t>HFMET190110A0092-90-134</t>
  </si>
  <si>
    <t>HFMET190110A0094-92-134</t>
  </si>
  <si>
    <t>HFMET190110A0096-94-134</t>
  </si>
  <si>
    <t>HFMET190110A0097-87-133</t>
  </si>
  <si>
    <t>HFMET190110A0099-89-133</t>
  </si>
  <si>
    <t>HFMET190110A0100-90-133</t>
  </si>
  <si>
    <t>HFMET190110A0104-94-133</t>
  </si>
  <si>
    <t>HFMET190110A0105-87-120</t>
  </si>
  <si>
    <t>HFMET190110A0109-91-120</t>
  </si>
  <si>
    <t>HFMET190110A0114-88-119</t>
  </si>
  <si>
    <t>CACGGCGA-ACACGCGG</t>
  </si>
  <si>
    <t>CACGGCGA-CACACTGG</t>
  </si>
  <si>
    <t>CACGGCGA-TGATGGCT</t>
  </si>
  <si>
    <t>AACAGTAA-AGGTTAAC</t>
  </si>
  <si>
    <t>AACAGTAA-CTACCATA</t>
  </si>
  <si>
    <t>TCTATAAG-CTACGCAC</t>
  </si>
  <si>
    <t>TCTATAAG-GCGAAGTA</t>
  </si>
  <si>
    <t>GCGAGGCC-ACCAGACT</t>
  </si>
  <si>
    <t>TATTATCT-CATCATAA</t>
  </si>
  <si>
    <t>CGATAGAT-TACTATGA</t>
  </si>
  <si>
    <t>CGATAGAT-AGGTTAAC</t>
  </si>
  <si>
    <t>CGATAGAT-CTACCATA</t>
  </si>
  <si>
    <t>CGATAGAT-GAGCATTG</t>
  </si>
  <si>
    <t>CGATAGAT-ACCTTGCA</t>
  </si>
  <si>
    <t>CGATAGAT-GGCAACAG</t>
  </si>
  <si>
    <t>CGATAGAT-TTGGCGCC</t>
  </si>
  <si>
    <t>CGATAGAT-CATCATAA</t>
  </si>
  <si>
    <t>ATTGGCCG-GGCAACAG</t>
  </si>
  <si>
    <t>ATTGGCCG-TTGGCGCC</t>
  </si>
  <si>
    <t>ATTGGCCG-CATCATAA</t>
  </si>
  <si>
    <t>CCGTCGGA-CACACTGG</t>
  </si>
  <si>
    <t>CCGTCGGA-AGGTGCCG</t>
  </si>
  <si>
    <t>CCGTCGGA-CTACGCAC</t>
  </si>
  <si>
    <t>CCGTCGGA-GCGAAGTA</t>
  </si>
  <si>
    <t>CCGTCGGA-TACTATGA</t>
  </si>
  <si>
    <t>CCGTCGGA-AGGTTAAC</t>
  </si>
  <si>
    <t>CCGTCGGA-CTACCATA</t>
  </si>
  <si>
    <t>CCGTCGGA-GCGACTCC</t>
  </si>
  <si>
    <t>CCGTCGGA-TAAGGCGC</t>
  </si>
  <si>
    <t>CGGCTATC-AGGTGCCG</t>
  </si>
  <si>
    <t>CGGCTATC-CTACGCAC</t>
  </si>
  <si>
    <t>CGGCTATC-GCGAAGTA</t>
  </si>
  <si>
    <t>CGGCTATC-TACTATGA</t>
  </si>
  <si>
    <t>CGGCTATC-AGGTTAAC</t>
  </si>
  <si>
    <t>CGGCTATC-CTACCATA</t>
  </si>
  <si>
    <t>CGGCTATC-GCGACTCC</t>
  </si>
  <si>
    <t>CGGCTATC-TAAGGCGC</t>
  </si>
  <si>
    <t>GTGACCGA-AGGTGCCG</t>
  </si>
  <si>
    <t>GTGACCGA-CTACGCAC</t>
  </si>
  <si>
    <t>GTGACCGA-GCGAAGTA</t>
  </si>
  <si>
    <t>GTGACCGA-TACTATGA</t>
  </si>
  <si>
    <t>GTGACCGA-AGGTTAAC</t>
  </si>
  <si>
    <t>GTGACCGA-CTACCATA</t>
  </si>
  <si>
    <t>GTGACCGA-GCGACTCC</t>
  </si>
  <si>
    <t>GTGACCGA-TAAGGCGC</t>
  </si>
  <si>
    <t>GTGACCGA-AAGGATGC</t>
  </si>
  <si>
    <t>CCGTCGGA-GGCAACAG</t>
  </si>
  <si>
    <t>AATCGCTT-GCGAAGTA</t>
  </si>
  <si>
    <t>AATCGCTT-TACTATGA</t>
  </si>
  <si>
    <t>AATCGCTT-CTACCATA</t>
  </si>
  <si>
    <t>AATCGCTT-TAAGGCGC</t>
  </si>
  <si>
    <t>GCGAGGCC-AGGTGCCG</t>
  </si>
  <si>
    <t>GCGAGGCC-GCGAAGTA</t>
  </si>
  <si>
    <t>GCGAGGCC-TACTATGA</t>
  </si>
  <si>
    <t>GCGAGGCC-TAAGGCGC</t>
  </si>
  <si>
    <t>GAATTCCA-AGGTGCCG</t>
  </si>
  <si>
    <t>GAATTCCA-AGGTTAAC</t>
  </si>
  <si>
    <t>TCGGCGAT-CTACGCAC</t>
  </si>
  <si>
    <t>TCGGCGAT-ATTGCGTT</t>
  </si>
  <si>
    <t>TCGGCGAT-CACACTGG</t>
  </si>
  <si>
    <t>TCGGCGAT-TGATGGCT</t>
  </si>
  <si>
    <t>TCGGCGAT-GAGCATTG</t>
  </si>
  <si>
    <t>TCGGCGAT-ACCTTGCA</t>
  </si>
  <si>
    <t>TCGGCGAT-GGCAACAG</t>
  </si>
  <si>
    <t>TCGGCGAT-TTGGCGCC</t>
  </si>
  <si>
    <t>TCGGCGAT-CATCATAA</t>
  </si>
  <si>
    <t>GAATTCCA-ATTGCGTT</t>
  </si>
  <si>
    <t>GAATTCCA-CACACTGG</t>
  </si>
  <si>
    <t>GAATTCCA-TGATGGCT</t>
  </si>
  <si>
    <t>GAATTCCA-GAGCATTG</t>
  </si>
  <si>
    <t>GAATTCCA-ACCTTGCA</t>
  </si>
  <si>
    <t>GAATTCCA-GGCAACAG</t>
  </si>
  <si>
    <t>GAATTCCA-TTGGCGCC</t>
  </si>
  <si>
    <t>GAATTCCA-CATCATAA</t>
  </si>
  <si>
    <t>AGGCAGAC-ATTGCGTT</t>
  </si>
  <si>
    <t>AGGCAGAC-CACACTGG</t>
  </si>
  <si>
    <t>AGGCAGAC-TGATGGCT</t>
  </si>
  <si>
    <t>AGGCAGAC-GAGCATTG</t>
  </si>
  <si>
    <t>AGGCAGAC-ACCTTGCA</t>
  </si>
  <si>
    <t>AGGCAGAC-GGCAACAG</t>
  </si>
  <si>
    <t>AGGCAGAC-TTGGCGCC</t>
  </si>
  <si>
    <t>AGGCAGAC-CATCATAA</t>
  </si>
  <si>
    <t>GCGAGGCC-ATTGCGTT</t>
  </si>
  <si>
    <t>GCGAGGCC-CACACTGG</t>
  </si>
  <si>
    <t>GCGAGGCC-TGATGGCT</t>
  </si>
  <si>
    <t>GCGAGGCC-GAGCATTG</t>
  </si>
  <si>
    <t>GCGAGGCC-ACCTTGCA</t>
  </si>
  <si>
    <t>GCGAGGCC-GGCAACAG</t>
  </si>
  <si>
    <t>ATGATTCA-GAGCTGAC</t>
  </si>
  <si>
    <t>ATGATTCA-GTGGTCGT</t>
  </si>
  <si>
    <t>ATGATTCA-CGATCCTG</t>
  </si>
  <si>
    <t>ATGATTCA-AAGACGTC</t>
  </si>
  <si>
    <t>ATGATTCA-GCTCTCTA</t>
  </si>
  <si>
    <t>ATGATTCA-TGTGTTAA</t>
  </si>
  <si>
    <t>ATGATTCA-GGAGTAGA</t>
  </si>
  <si>
    <t>ATGATTCA-CTCGTCCG</t>
  </si>
  <si>
    <t>GTACATGT-GAGCTGAC</t>
  </si>
  <si>
    <t>GTACATGT-GTGGTCGT</t>
  </si>
  <si>
    <t>GTACATGT-AAGACGTC</t>
  </si>
  <si>
    <t>GTACATGT-GCTCTCTA</t>
  </si>
  <si>
    <t>KC181224-009 MAKF181127012-农科院区划所96个细菌样本的16S区域扩增子测序分析-1期96例-16sV3-V4-测序分析</t>
  </si>
  <si>
    <t>HFED181203038A</t>
  </si>
  <si>
    <t>16SV3-V4</t>
  </si>
  <si>
    <t>89-124</t>
  </si>
  <si>
    <t>HFMET181206A2732-89-124</t>
  </si>
  <si>
    <t>HFED181203039A</t>
  </si>
  <si>
    <t>90-124</t>
  </si>
  <si>
    <t>HFMET181206A2733-90-124</t>
  </si>
  <si>
    <t>HFED181203041A</t>
  </si>
  <si>
    <t>92-124</t>
  </si>
  <si>
    <t>HFMET181206A2735-92-124</t>
  </si>
  <si>
    <t>HFED181203043A</t>
  </si>
  <si>
    <t>94-124</t>
  </si>
  <si>
    <t>HFMET181206A2737-94-124</t>
  </si>
  <si>
    <t>大26</t>
  </si>
  <si>
    <t>HFED181211004A</t>
  </si>
  <si>
    <t>101-138</t>
  </si>
  <si>
    <t>HFMET181213A2961-101-138</t>
  </si>
  <si>
    <t>大28</t>
  </si>
  <si>
    <t>HFED181211005A</t>
  </si>
  <si>
    <t>102-138</t>
  </si>
  <si>
    <t>HFMET181213A2962-102-138</t>
  </si>
  <si>
    <t>KC190109-002 MAKF181109012-江苏大学1个餐厨垃圾样本的16S和ITS区域扩增子测序分析技术服务（委托）合同-1期3例-16sV3-V4&amp;ITS1-测序分析任务单</t>
  </si>
  <si>
    <t>餐厨垃圾</t>
  </si>
  <si>
    <t>HFED181211003A</t>
  </si>
  <si>
    <t>107-138</t>
  </si>
  <si>
    <t>HFMET181213A2967-107-138</t>
  </si>
  <si>
    <t>66-83</t>
  </si>
  <si>
    <t>HFMET181213A2969-66-83</t>
  </si>
  <si>
    <t>KC190126-003  MAKF181112011-省农科院500个样本的16S区域扩增子测序分析技术服务（委托）合同-1期1例-16sV3-V4-测序分析任务单-3例加测</t>
  </si>
  <si>
    <t>GZILC-3</t>
  </si>
  <si>
    <t>HF190117113</t>
  </si>
  <si>
    <t>95-120</t>
  </si>
  <si>
    <t>HFMET190123A0166-95-120</t>
  </si>
  <si>
    <t>GZILC-7</t>
  </si>
  <si>
    <t>HF190117114</t>
  </si>
  <si>
    <t>96-120</t>
  </si>
  <si>
    <t>HFMET190123A0167-96-120</t>
  </si>
  <si>
    <t>GZILC-18</t>
  </si>
  <si>
    <t>HF190117115</t>
  </si>
  <si>
    <t>97-120</t>
  </si>
  <si>
    <t>HFMET190123A0168-97-120</t>
  </si>
  <si>
    <t>GZILC-25</t>
  </si>
  <si>
    <t>HF190117116</t>
  </si>
  <si>
    <t>98-120</t>
  </si>
  <si>
    <t>HFMET190123A0169-98-120</t>
  </si>
  <si>
    <t>KC190121-002 MAKF190115011-中科大2个细菌样本的16S区域扩增子测序分析技术服务（委托）合同-1期2例-16sV3-V4-测序分析任务单</t>
  </si>
  <si>
    <t>YS-1</t>
  </si>
  <si>
    <t>HF190117120</t>
  </si>
  <si>
    <t>99-120</t>
  </si>
  <si>
    <t>HFMET190123A0170-99-120</t>
  </si>
  <si>
    <t>WG-1</t>
  </si>
  <si>
    <t>HF190117122</t>
  </si>
  <si>
    <t>101-120</t>
  </si>
  <si>
    <t>HFMET190123A0172-101-120</t>
  </si>
  <si>
    <t>KC190116-006 MAKF180709012-150个环境样本菌群结构建库测序-4期3例-16sV4-V5-测序分析任务单</t>
  </si>
  <si>
    <t>TOA</t>
  </si>
  <si>
    <t>HF190114001</t>
  </si>
  <si>
    <t>51-83</t>
  </si>
  <si>
    <t>HFMET190125A0210-51-83</t>
  </si>
  <si>
    <t>TOB</t>
  </si>
  <si>
    <t>HF190114002</t>
  </si>
  <si>
    <t>52-83</t>
  </si>
  <si>
    <t>HFMET190125A0211-52-83</t>
  </si>
  <si>
    <t>TOC</t>
  </si>
  <si>
    <t>HF190114003</t>
  </si>
  <si>
    <t>53-83</t>
  </si>
  <si>
    <t>HFMET190125A0212-53-83</t>
  </si>
  <si>
    <t>GCCGCATG-GCGAAGTA</t>
  </si>
  <si>
    <t>GCCGCATG-TACTATGA</t>
  </si>
  <si>
    <t>GCCGCATG-CTACCATA</t>
  </si>
  <si>
    <t>GCCGCATG-TAAGGCGC</t>
  </si>
  <si>
    <t>CCGTCGGA-GTGTGTTA</t>
  </si>
  <si>
    <t>CCGTCGGA-TGTCGCGT</t>
  </si>
  <si>
    <t>CCGTCGGA-ACCTTGCA</t>
  </si>
  <si>
    <t>TTGCGGTT-CTCGTCCG</t>
  </si>
  <si>
    <t>GAATTCCA-AAGGATGC</t>
  </si>
  <si>
    <t>GAATTCCA-GGCCGGTT</t>
  </si>
  <si>
    <t>GAATTCCA-CCGGCTAA</t>
  </si>
  <si>
    <t>GAATTCCA-TTGCTACG</t>
  </si>
  <si>
    <t>GAATTCCA-ACACGCGG</t>
  </si>
  <si>
    <t>GAATTCCA-GTGTGTTA</t>
  </si>
  <si>
    <t>TTGCGGTT-ATAACACC</t>
  </si>
  <si>
    <t>TTGCGGTT-TATCCAGA</t>
  </si>
  <si>
    <t>TTGCGGTT-CCGCACAG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</si>
</sst>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3">
    <cellStyle name="常规" xfId="0" builtinId="0"/>
    <cellStyle name="常规 124" xfId="2" xr:uid="{BF891813-B789-4FB6-B4B8-57923B367FEB}"/>
    <cellStyle name="常规 3" xfId="1" xr:uid="{277FC846-6068-4931-B2DA-F038427E99B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ep\Desktop\&#26032;&#24314;Microsoft%20Excel%20&#24037;&#20316;&#34920;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topLeftCell="B1" workbookViewId="0">
      <selection activeCell="B1" sqref="A1:XFD1048576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6384" width="8.875" style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15">
      <c r="A2" s="1" t="s">
        <v>12</v>
      </c>
      <c r="B2" s="2">
        <v>0</v>
      </c>
      <c r="C2" s="2" t="s">
        <v>85</v>
      </c>
      <c r="D2" s="2" t="s">
        <v>198</v>
      </c>
      <c r="E2" s="1">
        <v>0.06</v>
      </c>
      <c r="F2" s="1" t="s">
        <v>235</v>
      </c>
      <c r="G2" s="1" t="s">
        <v>401</v>
      </c>
      <c r="H2" s="1" t="s">
        <v>335</v>
      </c>
      <c r="I2" s="1">
        <f>VLOOKUP($H2,[1]Sheet1!$L:$Y,4,0)</f>
        <v>8.9600000000000009</v>
      </c>
      <c r="J2" s="1">
        <f>VLOOKUP($H2,[1]Sheet1!$L:$Y,3,0)</f>
        <v>590</v>
      </c>
    </row>
    <row r="3" spans="1:10" x14ac:dyDescent="0.15">
      <c r="A3" s="1" t="s">
        <v>12</v>
      </c>
      <c r="B3" s="2">
        <v>4</v>
      </c>
      <c r="C3" s="2" t="s">
        <v>89</v>
      </c>
      <c r="D3" s="2" t="s">
        <v>198</v>
      </c>
      <c r="E3" s="1">
        <v>0.06</v>
      </c>
      <c r="F3" s="1" t="s">
        <v>239</v>
      </c>
      <c r="G3" s="1" t="s">
        <v>402</v>
      </c>
      <c r="H3" s="1" t="s">
        <v>339</v>
      </c>
      <c r="I3" s="1">
        <f>VLOOKUP($H3,[1]Sheet1!$L:$Y,4,0)</f>
        <v>9.1</v>
      </c>
      <c r="J3" s="1">
        <f>VLOOKUP($H3,[1]Sheet1!$L:$Y,3,0)</f>
        <v>596</v>
      </c>
    </row>
    <row r="4" spans="1:10" x14ac:dyDescent="0.15">
      <c r="A4" s="1" t="s">
        <v>12</v>
      </c>
      <c r="B4" s="2">
        <v>5</v>
      </c>
      <c r="C4" s="2" t="s">
        <v>90</v>
      </c>
      <c r="D4" s="2" t="s">
        <v>198</v>
      </c>
      <c r="E4" s="1">
        <v>0.06</v>
      </c>
      <c r="F4" s="1" t="s">
        <v>240</v>
      </c>
      <c r="G4" s="1" t="s">
        <v>403</v>
      </c>
      <c r="H4" s="1" t="s">
        <v>340</v>
      </c>
      <c r="I4" s="1">
        <f>VLOOKUP($H4,[1]Sheet1!$L:$Y,4,0)</f>
        <v>12.72</v>
      </c>
      <c r="J4" s="1">
        <f>VLOOKUP($H4,[1]Sheet1!$L:$Y,3,0)</f>
        <v>583</v>
      </c>
    </row>
    <row r="5" spans="1:10" x14ac:dyDescent="0.15">
      <c r="A5" s="1" t="s">
        <v>12</v>
      </c>
      <c r="B5" s="1">
        <v>10</v>
      </c>
      <c r="C5" s="1" t="s">
        <v>95</v>
      </c>
      <c r="D5" s="2" t="s">
        <v>198</v>
      </c>
      <c r="E5" s="1">
        <v>0.06</v>
      </c>
      <c r="F5" s="1" t="s">
        <v>245</v>
      </c>
      <c r="G5" s="1" t="s">
        <v>404</v>
      </c>
      <c r="H5" s="1" t="s">
        <v>345</v>
      </c>
      <c r="I5" s="1">
        <f>VLOOKUP($H5,[1]Sheet1!$L:$Y,4,0)</f>
        <v>7.15</v>
      </c>
      <c r="J5" s="1">
        <f>VLOOKUP($H5,[1]Sheet1!$L:$Y,3,0)</f>
        <v>595</v>
      </c>
    </row>
    <row r="6" spans="1:10" x14ac:dyDescent="0.15">
      <c r="A6" s="1" t="s">
        <v>12</v>
      </c>
      <c r="B6" s="1">
        <v>11</v>
      </c>
      <c r="C6" s="1" t="s">
        <v>96</v>
      </c>
      <c r="D6" s="2" t="s">
        <v>198</v>
      </c>
      <c r="E6" s="1">
        <v>0.06</v>
      </c>
      <c r="F6" s="1" t="s">
        <v>246</v>
      </c>
      <c r="G6" s="1" t="s">
        <v>405</v>
      </c>
      <c r="H6" s="1" t="s">
        <v>346</v>
      </c>
      <c r="I6" s="1">
        <f>VLOOKUP($H6,[1]Sheet1!$L:$Y,4,0)</f>
        <v>7.34</v>
      </c>
      <c r="J6" s="1">
        <f>VLOOKUP($H6,[1]Sheet1!$L:$Y,3,0)</f>
        <v>592</v>
      </c>
    </row>
    <row r="7" spans="1:10" x14ac:dyDescent="0.15">
      <c r="A7" s="1" t="s">
        <v>12</v>
      </c>
      <c r="B7" s="1">
        <v>15</v>
      </c>
      <c r="C7" s="1" t="s">
        <v>100</v>
      </c>
      <c r="D7" s="1" t="s">
        <v>198</v>
      </c>
      <c r="E7" s="1">
        <v>0.06</v>
      </c>
      <c r="F7" s="1" t="s">
        <v>250</v>
      </c>
      <c r="G7" s="1" t="s">
        <v>406</v>
      </c>
      <c r="H7" s="1" t="s">
        <v>350</v>
      </c>
      <c r="I7" s="1">
        <f>VLOOKUP($H7,[1]Sheet1!$L:$Y,4,0)</f>
        <v>10.64</v>
      </c>
      <c r="J7" s="1">
        <f>VLOOKUP($H7,[1]Sheet1!$L:$Y,3,0)</f>
        <v>588</v>
      </c>
    </row>
    <row r="8" spans="1:10" x14ac:dyDescent="0.15">
      <c r="A8" s="1" t="s">
        <v>12</v>
      </c>
      <c r="B8" s="1">
        <v>16</v>
      </c>
      <c r="C8" s="1" t="s">
        <v>101</v>
      </c>
      <c r="D8" s="1" t="s">
        <v>198</v>
      </c>
      <c r="E8" s="1">
        <v>0.06</v>
      </c>
      <c r="F8" s="1" t="s">
        <v>251</v>
      </c>
      <c r="G8" s="1" t="s">
        <v>407</v>
      </c>
      <c r="H8" s="1" t="s">
        <v>351</v>
      </c>
      <c r="I8" s="1">
        <f>VLOOKUP($H8,[1]Sheet1!$L:$Y,4,0)</f>
        <v>11.21</v>
      </c>
      <c r="J8" s="1">
        <f>VLOOKUP($H8,[1]Sheet1!$L:$Y,3,0)</f>
        <v>587</v>
      </c>
    </row>
    <row r="9" spans="1:10" x14ac:dyDescent="0.15">
      <c r="A9" s="1" t="s">
        <v>15</v>
      </c>
      <c r="B9" s="1" t="s">
        <v>173</v>
      </c>
      <c r="C9" s="1" t="s">
        <v>174</v>
      </c>
      <c r="D9" s="1" t="s">
        <v>198</v>
      </c>
      <c r="E9" s="1">
        <v>0.08</v>
      </c>
      <c r="F9" s="1" t="s">
        <v>289</v>
      </c>
      <c r="G9" s="1" t="s">
        <v>408</v>
      </c>
      <c r="H9" s="1" t="s">
        <v>389</v>
      </c>
      <c r="I9" s="1">
        <f>VLOOKUP($H9,[1]Sheet1!$L:$Y,4,0)</f>
        <v>8.2851999999999997</v>
      </c>
      <c r="J9" s="1">
        <f>VLOOKUP($H9,[1]Sheet1!$L:$Y,3,0)</f>
        <v>578</v>
      </c>
    </row>
    <row r="10" spans="1:10" x14ac:dyDescent="0.15">
      <c r="A10" s="1" t="s">
        <v>12</v>
      </c>
      <c r="B10" s="2">
        <v>2</v>
      </c>
      <c r="C10" s="2" t="s">
        <v>87</v>
      </c>
      <c r="D10" s="2" t="s">
        <v>199</v>
      </c>
      <c r="E10" s="1">
        <v>0.06</v>
      </c>
      <c r="F10" s="1" t="s">
        <v>237</v>
      </c>
      <c r="G10" s="1" t="s">
        <v>409</v>
      </c>
      <c r="H10" s="1" t="s">
        <v>337</v>
      </c>
      <c r="I10" s="1">
        <f>VLOOKUP($H10,[1]Sheet1!$L:$Y,4,0)</f>
        <v>2.2044000000000001</v>
      </c>
      <c r="J10" s="1">
        <f>VLOOKUP($H10,[1]Sheet1!$L:$Y,3,0)</f>
        <v>615</v>
      </c>
    </row>
    <row r="11" spans="1:10" x14ac:dyDescent="0.15">
      <c r="A11" s="1" t="s">
        <v>12</v>
      </c>
      <c r="B11" s="2">
        <v>3</v>
      </c>
      <c r="C11" s="2" t="s">
        <v>88</v>
      </c>
      <c r="D11" s="2" t="s">
        <v>199</v>
      </c>
      <c r="E11" s="1">
        <v>0.06</v>
      </c>
      <c r="F11" s="1" t="s">
        <v>238</v>
      </c>
      <c r="G11" s="1" t="s">
        <v>410</v>
      </c>
      <c r="H11" s="1" t="s">
        <v>338</v>
      </c>
      <c r="I11" s="1">
        <f>VLOOKUP($H11,[1]Sheet1!$L:$Y,4,0)</f>
        <v>2.7390000000000003</v>
      </c>
      <c r="J11" s="1">
        <f>VLOOKUP($H11,[1]Sheet1!$L:$Y,3,0)</f>
        <v>594</v>
      </c>
    </row>
    <row r="12" spans="1:10" x14ac:dyDescent="0.15">
      <c r="A12" s="1" t="s">
        <v>12</v>
      </c>
      <c r="B12" s="2">
        <v>6</v>
      </c>
      <c r="C12" s="2" t="s">
        <v>91</v>
      </c>
      <c r="D12" s="2" t="s">
        <v>199</v>
      </c>
      <c r="E12" s="1">
        <v>0.06</v>
      </c>
      <c r="F12" s="1" t="s">
        <v>241</v>
      </c>
      <c r="G12" s="1" t="s">
        <v>411</v>
      </c>
      <c r="H12" s="1" t="s">
        <v>341</v>
      </c>
      <c r="I12" s="1">
        <f>VLOOKUP($H12,[1]Sheet1!$L:$Y,4,0)</f>
        <v>1.8479999999999999</v>
      </c>
      <c r="J12" s="1">
        <f>VLOOKUP($H12,[1]Sheet1!$L:$Y,3,0)</f>
        <v>621</v>
      </c>
    </row>
    <row r="13" spans="1:10" x14ac:dyDescent="0.15">
      <c r="A13" s="1" t="s">
        <v>12</v>
      </c>
      <c r="B13" s="1">
        <v>7</v>
      </c>
      <c r="C13" s="1" t="s">
        <v>92</v>
      </c>
      <c r="D13" s="2" t="s">
        <v>199</v>
      </c>
      <c r="E13" s="1">
        <v>0.06</v>
      </c>
      <c r="F13" s="1" t="s">
        <v>242</v>
      </c>
      <c r="G13" s="1" t="s">
        <v>412</v>
      </c>
      <c r="H13" s="1" t="s">
        <v>342</v>
      </c>
      <c r="I13" s="1">
        <f>VLOOKUP($H13,[1]Sheet1!$L:$Y,4,0)</f>
        <v>1.8447</v>
      </c>
      <c r="J13" s="1">
        <f>VLOOKUP($H13,[1]Sheet1!$L:$Y,3,0)</f>
        <v>611</v>
      </c>
    </row>
    <row r="14" spans="1:10" x14ac:dyDescent="0.15">
      <c r="A14" s="1" t="s">
        <v>12</v>
      </c>
      <c r="B14" s="1">
        <v>8</v>
      </c>
      <c r="C14" s="1" t="s">
        <v>93</v>
      </c>
      <c r="D14" s="2" t="s">
        <v>199</v>
      </c>
      <c r="E14" s="1">
        <v>0.06</v>
      </c>
      <c r="F14" s="1" t="s">
        <v>243</v>
      </c>
      <c r="G14" s="1" t="s">
        <v>413</v>
      </c>
      <c r="H14" s="1" t="s">
        <v>343</v>
      </c>
      <c r="I14" s="1">
        <f>VLOOKUP($H14,[1]Sheet1!$L:$Y,4,0)</f>
        <v>2.9931000000000001</v>
      </c>
      <c r="J14" s="1">
        <f>VLOOKUP($H14,[1]Sheet1!$L:$Y,3,0)</f>
        <v>600</v>
      </c>
    </row>
    <row r="15" spans="1:10" x14ac:dyDescent="0.15">
      <c r="A15" s="1" t="s">
        <v>12</v>
      </c>
      <c r="B15" s="1">
        <v>9</v>
      </c>
      <c r="C15" s="1" t="s">
        <v>94</v>
      </c>
      <c r="D15" s="2" t="s">
        <v>199</v>
      </c>
      <c r="E15" s="1">
        <v>0.06</v>
      </c>
      <c r="F15" s="1" t="s">
        <v>244</v>
      </c>
      <c r="G15" s="1" t="s">
        <v>414</v>
      </c>
      <c r="H15" s="1" t="s">
        <v>344</v>
      </c>
      <c r="I15" s="1">
        <f>VLOOKUP($H15,[1]Sheet1!$L:$Y,4,0)</f>
        <v>3.8576999999999999</v>
      </c>
      <c r="J15" s="1">
        <f>VLOOKUP($H15,[1]Sheet1!$L:$Y,3,0)</f>
        <v>594</v>
      </c>
    </row>
    <row r="16" spans="1:10" x14ac:dyDescent="0.15">
      <c r="A16" s="1" t="s">
        <v>12</v>
      </c>
      <c r="B16" s="1">
        <v>12</v>
      </c>
      <c r="C16" s="1" t="s">
        <v>97</v>
      </c>
      <c r="D16" s="2" t="s">
        <v>199</v>
      </c>
      <c r="E16" s="1">
        <v>0.06</v>
      </c>
      <c r="F16" s="1" t="s">
        <v>247</v>
      </c>
      <c r="G16" s="1" t="s">
        <v>415</v>
      </c>
      <c r="H16" s="1" t="s">
        <v>347</v>
      </c>
      <c r="I16" s="1">
        <f>VLOOKUP($H16,[1]Sheet1!$L:$Y,4,0)</f>
        <v>2.2869000000000002</v>
      </c>
      <c r="J16" s="1">
        <f>VLOOKUP($H16,[1]Sheet1!$L:$Y,3,0)</f>
        <v>614</v>
      </c>
    </row>
    <row r="17" spans="1:10" x14ac:dyDescent="0.15">
      <c r="A17" s="1" t="s">
        <v>12</v>
      </c>
      <c r="B17" s="1">
        <v>13</v>
      </c>
      <c r="C17" s="1" t="s">
        <v>98</v>
      </c>
      <c r="D17" s="1" t="s">
        <v>199</v>
      </c>
      <c r="E17" s="1">
        <v>0.06</v>
      </c>
      <c r="F17" s="1" t="s">
        <v>248</v>
      </c>
      <c r="G17" s="1" t="s">
        <v>416</v>
      </c>
      <c r="H17" s="1" t="s">
        <v>348</v>
      </c>
      <c r="I17" s="1">
        <f>VLOOKUP($H17,[1]Sheet1!$L:$Y,4,0)</f>
        <v>3.2406000000000001</v>
      </c>
      <c r="J17" s="1">
        <f>VLOOKUP($H17,[1]Sheet1!$L:$Y,3,0)</f>
        <v>606</v>
      </c>
    </row>
    <row r="18" spans="1:10" x14ac:dyDescent="0.15">
      <c r="A18" s="1" t="s">
        <v>12</v>
      </c>
      <c r="B18" s="1">
        <v>14</v>
      </c>
      <c r="C18" s="1" t="s">
        <v>99</v>
      </c>
      <c r="D18" s="1" t="s">
        <v>199</v>
      </c>
      <c r="E18" s="1">
        <v>0.06</v>
      </c>
      <c r="F18" s="1" t="s">
        <v>249</v>
      </c>
      <c r="G18" s="1" t="s">
        <v>417</v>
      </c>
      <c r="H18" s="1" t="s">
        <v>349</v>
      </c>
      <c r="I18" s="1">
        <f>VLOOKUP($H18,[1]Sheet1!$L:$Y,4,0)</f>
        <v>1.7358</v>
      </c>
      <c r="J18" s="1">
        <f>VLOOKUP($H18,[1]Sheet1!$L:$Y,3,0)</f>
        <v>634</v>
      </c>
    </row>
    <row r="19" spans="1:10" x14ac:dyDescent="0.15">
      <c r="A19" s="1" t="s">
        <v>12</v>
      </c>
      <c r="B19" s="1">
        <v>17</v>
      </c>
      <c r="C19" s="1" t="s">
        <v>102</v>
      </c>
      <c r="D19" s="1" t="s">
        <v>199</v>
      </c>
      <c r="E19" s="1">
        <v>0.06</v>
      </c>
      <c r="F19" s="1" t="s">
        <v>252</v>
      </c>
      <c r="G19" s="1" t="s">
        <v>418</v>
      </c>
      <c r="H19" s="1" t="s">
        <v>352</v>
      </c>
      <c r="I19" s="1">
        <f>VLOOKUP($H19,[1]Sheet1!$L:$Y,4,0)</f>
        <v>1.0725</v>
      </c>
      <c r="J19" s="1">
        <f>VLOOKUP($H19,[1]Sheet1!$L:$Y,3,0)</f>
        <v>616</v>
      </c>
    </row>
    <row r="20" spans="1:10" x14ac:dyDescent="0.15">
      <c r="A20" s="1" t="s">
        <v>12</v>
      </c>
      <c r="B20" s="1">
        <v>18</v>
      </c>
      <c r="C20" s="1" t="s">
        <v>103</v>
      </c>
      <c r="D20" s="1" t="s">
        <v>199</v>
      </c>
      <c r="E20" s="1">
        <v>0.06</v>
      </c>
      <c r="F20" s="1" t="s">
        <v>253</v>
      </c>
      <c r="G20" s="1" t="s">
        <v>419</v>
      </c>
      <c r="H20" s="1" t="s">
        <v>353</v>
      </c>
      <c r="I20" s="1">
        <f>VLOOKUP($H20,[1]Sheet1!$L:$Y,4,0)</f>
        <v>2.2077000000000004</v>
      </c>
      <c r="J20" s="1">
        <f>VLOOKUP($H20,[1]Sheet1!$L:$Y,3,0)</f>
        <v>626</v>
      </c>
    </row>
    <row r="21" spans="1:10" x14ac:dyDescent="0.15">
      <c r="A21" s="1" t="s">
        <v>12</v>
      </c>
      <c r="B21" s="1">
        <v>19</v>
      </c>
      <c r="C21" s="1" t="s">
        <v>104</v>
      </c>
      <c r="D21" s="1" t="s">
        <v>199</v>
      </c>
      <c r="E21" s="1">
        <v>0.06</v>
      </c>
      <c r="F21" s="1" t="s">
        <v>254</v>
      </c>
      <c r="G21" s="1" t="s">
        <v>420</v>
      </c>
      <c r="H21" s="1" t="s">
        <v>354</v>
      </c>
      <c r="I21" s="1">
        <f>VLOOKUP($H21,[1]Sheet1!$L:$Y,4,0)</f>
        <v>2.4255</v>
      </c>
      <c r="J21" s="1">
        <f>VLOOKUP($H21,[1]Sheet1!$L:$Y,3,0)</f>
        <v>621</v>
      </c>
    </row>
    <row r="22" spans="1:10" x14ac:dyDescent="0.15">
      <c r="A22" s="1" t="s">
        <v>13</v>
      </c>
      <c r="B22" s="1" t="s">
        <v>105</v>
      </c>
      <c r="C22" s="1" t="s">
        <v>106</v>
      </c>
      <c r="D22" s="1" t="s">
        <v>198</v>
      </c>
      <c r="E22" s="1">
        <v>0.04</v>
      </c>
      <c r="F22" s="1" t="s">
        <v>255</v>
      </c>
      <c r="G22" s="1" t="s">
        <v>421</v>
      </c>
      <c r="H22" s="1" t="s">
        <v>355</v>
      </c>
      <c r="I22" s="1">
        <f>VLOOKUP($H22,[1]Sheet1!$L:$Y,4,0)</f>
        <v>28.280800000000003</v>
      </c>
      <c r="J22" s="1">
        <f>VLOOKUP($H22,[1]Sheet1!$L:$Y,3,0)</f>
        <v>590</v>
      </c>
    </row>
    <row r="23" spans="1:10" x14ac:dyDescent="0.15">
      <c r="A23" s="4" t="s">
        <v>11</v>
      </c>
      <c r="B23" s="2" t="s">
        <v>35</v>
      </c>
      <c r="C23" s="2" t="s">
        <v>36</v>
      </c>
      <c r="D23" s="2" t="s">
        <v>198</v>
      </c>
      <c r="E23" s="1">
        <v>0.06</v>
      </c>
      <c r="F23" s="1" t="s">
        <v>210</v>
      </c>
      <c r="G23" s="1" t="s">
        <v>422</v>
      </c>
      <c r="H23" s="1" t="s">
        <v>310</v>
      </c>
      <c r="I23" s="1">
        <f>VLOOKUP($H23,[1]Sheet1!$L:$Y,4,0)</f>
        <v>19.328999999999997</v>
      </c>
      <c r="J23" s="1">
        <f>VLOOKUP($H23,[1]Sheet1!$L:$Y,3,0)</f>
        <v>603</v>
      </c>
    </row>
    <row r="24" spans="1:10" x14ac:dyDescent="0.15">
      <c r="A24" s="4" t="s">
        <v>11</v>
      </c>
      <c r="B24" s="2" t="s">
        <v>37</v>
      </c>
      <c r="C24" s="2" t="s">
        <v>38</v>
      </c>
      <c r="D24" s="2" t="s">
        <v>198</v>
      </c>
      <c r="E24" s="1">
        <v>0.06</v>
      </c>
      <c r="F24" s="1" t="s">
        <v>211</v>
      </c>
      <c r="G24" s="1" t="s">
        <v>423</v>
      </c>
      <c r="H24" s="1" t="s">
        <v>311</v>
      </c>
      <c r="I24" s="1">
        <f>VLOOKUP($H24,[1]Sheet1!$L:$Y,4,0)</f>
        <v>15.249000000000001</v>
      </c>
      <c r="J24" s="1">
        <f>VLOOKUP($H24,[1]Sheet1!$L:$Y,3,0)</f>
        <v>621</v>
      </c>
    </row>
    <row r="25" spans="1:10" x14ac:dyDescent="0.15">
      <c r="A25" s="4" t="s">
        <v>11</v>
      </c>
      <c r="B25" s="2" t="s">
        <v>39</v>
      </c>
      <c r="C25" s="2" t="s">
        <v>40</v>
      </c>
      <c r="D25" s="2" t="s">
        <v>198</v>
      </c>
      <c r="E25" s="1">
        <v>0.06</v>
      </c>
      <c r="F25" s="2" t="s">
        <v>212</v>
      </c>
      <c r="G25" s="1" t="s">
        <v>424</v>
      </c>
      <c r="H25" s="2" t="s">
        <v>312</v>
      </c>
      <c r="I25" s="1">
        <f>VLOOKUP($H25,[1]Sheet1!$L:$Y,4,0)</f>
        <v>21.011999999999997</v>
      </c>
      <c r="J25" s="1">
        <f>VLOOKUP($H25,[1]Sheet1!$L:$Y,3,0)</f>
        <v>585</v>
      </c>
    </row>
    <row r="26" spans="1:10" x14ac:dyDescent="0.15">
      <c r="A26" s="4" t="s">
        <v>11</v>
      </c>
      <c r="B26" s="2" t="s">
        <v>41</v>
      </c>
      <c r="C26" s="2" t="s">
        <v>42</v>
      </c>
      <c r="D26" s="2" t="s">
        <v>198</v>
      </c>
      <c r="E26" s="1">
        <v>0.06</v>
      </c>
      <c r="F26" s="2" t="s">
        <v>213</v>
      </c>
      <c r="G26" s="1" t="s">
        <v>425</v>
      </c>
      <c r="H26" s="2" t="s">
        <v>313</v>
      </c>
      <c r="I26" s="1">
        <f>VLOOKUP($H26,[1]Sheet1!$L:$Y,4,0)</f>
        <v>18.189999999999998</v>
      </c>
      <c r="J26" s="1">
        <f>VLOOKUP($H26,[1]Sheet1!$L:$Y,3,0)</f>
        <v>600</v>
      </c>
    </row>
    <row r="27" spans="1:10" x14ac:dyDescent="0.15">
      <c r="A27" s="4" t="s">
        <v>11</v>
      </c>
      <c r="B27" s="2" t="s">
        <v>43</v>
      </c>
      <c r="C27" s="2" t="s">
        <v>44</v>
      </c>
      <c r="D27" s="2" t="s">
        <v>198</v>
      </c>
      <c r="E27" s="1">
        <v>0.06</v>
      </c>
      <c r="F27" s="2" t="s">
        <v>214</v>
      </c>
      <c r="G27" s="1" t="s">
        <v>426</v>
      </c>
      <c r="H27" s="2" t="s">
        <v>314</v>
      </c>
      <c r="I27" s="1">
        <f>VLOOKUP($H27,[1]Sheet1!$L:$Y,4,0)</f>
        <v>24.139999999999997</v>
      </c>
      <c r="J27" s="1">
        <f>VLOOKUP($H27,[1]Sheet1!$L:$Y,3,0)</f>
        <v>595</v>
      </c>
    </row>
    <row r="28" spans="1:10" x14ac:dyDescent="0.15">
      <c r="A28" s="4" t="s">
        <v>11</v>
      </c>
      <c r="B28" s="1" t="s">
        <v>45</v>
      </c>
      <c r="C28" s="1" t="s">
        <v>46</v>
      </c>
      <c r="D28" s="2" t="s">
        <v>198</v>
      </c>
      <c r="E28" s="1">
        <v>0.06</v>
      </c>
      <c r="F28" s="1" t="s">
        <v>215</v>
      </c>
      <c r="G28" s="1" t="s">
        <v>427</v>
      </c>
      <c r="H28" s="1" t="s">
        <v>315</v>
      </c>
      <c r="I28" s="1">
        <f>VLOOKUP($H28,[1]Sheet1!$L:$Y,4,0)</f>
        <v>26.978999999999999</v>
      </c>
      <c r="J28" s="1">
        <f>VLOOKUP($H28,[1]Sheet1!$L:$Y,3,0)</f>
        <v>565</v>
      </c>
    </row>
    <row r="29" spans="1:10" x14ac:dyDescent="0.15">
      <c r="A29" s="4" t="s">
        <v>11</v>
      </c>
      <c r="B29" s="1" t="s">
        <v>47</v>
      </c>
      <c r="C29" s="1" t="s">
        <v>48</v>
      </c>
      <c r="D29" s="2" t="s">
        <v>198</v>
      </c>
      <c r="E29" s="1">
        <v>0.06</v>
      </c>
      <c r="F29" s="1" t="s">
        <v>216</v>
      </c>
      <c r="G29" s="1" t="s">
        <v>428</v>
      </c>
      <c r="H29" s="1" t="s">
        <v>316</v>
      </c>
      <c r="I29" s="1">
        <f>VLOOKUP($H29,[1]Sheet1!$L:$Y,4,0)</f>
        <v>18.920999999999999</v>
      </c>
      <c r="J29" s="1">
        <f>VLOOKUP($H29,[1]Sheet1!$L:$Y,3,0)</f>
        <v>605</v>
      </c>
    </row>
    <row r="30" spans="1:10" x14ac:dyDescent="0.15">
      <c r="A30" s="4" t="s">
        <v>11</v>
      </c>
      <c r="B30" s="1" t="s">
        <v>49</v>
      </c>
      <c r="C30" s="1" t="s">
        <v>50</v>
      </c>
      <c r="D30" s="2" t="s">
        <v>198</v>
      </c>
      <c r="E30" s="1">
        <v>0.06</v>
      </c>
      <c r="F30" s="1" t="s">
        <v>217</v>
      </c>
      <c r="G30" s="1" t="s">
        <v>429</v>
      </c>
      <c r="H30" s="1" t="s">
        <v>317</v>
      </c>
      <c r="I30" s="1">
        <f>VLOOKUP($H30,[1]Sheet1!$L:$Y,4,0)</f>
        <v>25.959</v>
      </c>
      <c r="J30" s="1">
        <f>VLOOKUP($H30,[1]Sheet1!$L:$Y,3,0)</f>
        <v>586</v>
      </c>
    </row>
    <row r="31" spans="1:10" x14ac:dyDescent="0.15">
      <c r="A31" s="4" t="s">
        <v>11</v>
      </c>
      <c r="B31" s="1" t="s">
        <v>51</v>
      </c>
      <c r="C31" s="1" t="s">
        <v>52</v>
      </c>
      <c r="D31" s="2" t="s">
        <v>198</v>
      </c>
      <c r="E31" s="1">
        <v>0.06</v>
      </c>
      <c r="F31" s="1" t="s">
        <v>218</v>
      </c>
      <c r="G31" s="1" t="s">
        <v>430</v>
      </c>
      <c r="H31" s="1" t="s">
        <v>318</v>
      </c>
      <c r="I31" s="1">
        <f>VLOOKUP($H31,[1]Sheet1!$L:$Y,4,0)</f>
        <v>14.0335</v>
      </c>
      <c r="J31" s="1">
        <f>VLOOKUP($H31,[1]Sheet1!$L:$Y,3,0)</f>
        <v>621</v>
      </c>
    </row>
    <row r="32" spans="1:10" x14ac:dyDescent="0.15">
      <c r="A32" s="4" t="s">
        <v>11</v>
      </c>
      <c r="B32" s="1" t="s">
        <v>53</v>
      </c>
      <c r="C32" s="1" t="s">
        <v>54</v>
      </c>
      <c r="D32" s="2" t="s">
        <v>198</v>
      </c>
      <c r="E32" s="1">
        <v>0.06</v>
      </c>
      <c r="F32" s="1" t="s">
        <v>219</v>
      </c>
      <c r="G32" s="1" t="s">
        <v>431</v>
      </c>
      <c r="H32" s="1" t="s">
        <v>319</v>
      </c>
      <c r="I32" s="1">
        <f>VLOOKUP($H32,[1]Sheet1!$L:$Y,4,0)</f>
        <v>16.456</v>
      </c>
      <c r="J32" s="1">
        <f>VLOOKUP($H32,[1]Sheet1!$L:$Y,3,0)</f>
        <v>623</v>
      </c>
    </row>
    <row r="33" spans="1:10" x14ac:dyDescent="0.15">
      <c r="A33" s="4" t="s">
        <v>11</v>
      </c>
      <c r="B33" s="1" t="s">
        <v>55</v>
      </c>
      <c r="C33" s="1" t="s">
        <v>56</v>
      </c>
      <c r="D33" s="1" t="s">
        <v>198</v>
      </c>
      <c r="E33" s="1">
        <v>0.06</v>
      </c>
      <c r="F33" s="1" t="s">
        <v>220</v>
      </c>
      <c r="G33" s="1" t="s">
        <v>432</v>
      </c>
      <c r="H33" s="1" t="s">
        <v>320</v>
      </c>
      <c r="I33" s="1">
        <f>VLOOKUP($H33,[1]Sheet1!$L:$Y,4,0)</f>
        <v>40.264499999999998</v>
      </c>
      <c r="J33" s="1">
        <f>VLOOKUP($H33,[1]Sheet1!$L:$Y,3,0)</f>
        <v>565</v>
      </c>
    </row>
    <row r="34" spans="1:10" x14ac:dyDescent="0.15">
      <c r="A34" s="1" t="s">
        <v>11</v>
      </c>
      <c r="B34" s="1" t="s">
        <v>57</v>
      </c>
      <c r="C34" s="1" t="s">
        <v>58</v>
      </c>
      <c r="D34" s="1" t="s">
        <v>198</v>
      </c>
      <c r="E34" s="1">
        <v>0.06</v>
      </c>
      <c r="F34" s="1" t="s">
        <v>221</v>
      </c>
      <c r="G34" s="1" t="s">
        <v>433</v>
      </c>
      <c r="H34" s="1" t="s">
        <v>321</v>
      </c>
      <c r="I34" s="1">
        <f>VLOOKUP($H34,[1]Sheet1!$L:$Y,4,0)</f>
        <v>25.516999999999999</v>
      </c>
      <c r="J34" s="1">
        <f>VLOOKUP($H34,[1]Sheet1!$L:$Y,3,0)</f>
        <v>595</v>
      </c>
    </row>
    <row r="35" spans="1:10" x14ac:dyDescent="0.15">
      <c r="A35" s="1" t="s">
        <v>11</v>
      </c>
      <c r="B35" s="1" t="s">
        <v>59</v>
      </c>
      <c r="C35" s="1" t="s">
        <v>60</v>
      </c>
      <c r="D35" s="1" t="s">
        <v>198</v>
      </c>
      <c r="E35" s="1">
        <v>0.06</v>
      </c>
      <c r="F35" s="1" t="s">
        <v>222</v>
      </c>
      <c r="G35" s="1" t="s">
        <v>434</v>
      </c>
      <c r="H35" s="1" t="s">
        <v>322</v>
      </c>
      <c r="I35" s="1">
        <f>VLOOKUP($H35,[1]Sheet1!$L:$Y,4,0)</f>
        <v>34.186999999999998</v>
      </c>
      <c r="J35" s="1">
        <f>VLOOKUP($H35,[1]Sheet1!$L:$Y,3,0)</f>
        <v>575</v>
      </c>
    </row>
    <row r="36" spans="1:10" x14ac:dyDescent="0.15">
      <c r="A36" s="1" t="s">
        <v>11</v>
      </c>
      <c r="B36" s="1" t="s">
        <v>61</v>
      </c>
      <c r="C36" s="1" t="s">
        <v>62</v>
      </c>
      <c r="D36" s="2" t="s">
        <v>198</v>
      </c>
      <c r="E36" s="1">
        <v>0.06</v>
      </c>
      <c r="F36" s="1" t="s">
        <v>223</v>
      </c>
      <c r="G36" s="1" t="s">
        <v>435</v>
      </c>
      <c r="H36" s="1" t="s">
        <v>323</v>
      </c>
      <c r="I36" s="1">
        <f>VLOOKUP($H36,[1]Sheet1!$L:$Y,4,0)</f>
        <v>25.304499999999997</v>
      </c>
      <c r="J36" s="1">
        <f>VLOOKUP($H36,[1]Sheet1!$L:$Y,3,0)</f>
        <v>606</v>
      </c>
    </row>
    <row r="37" spans="1:10" x14ac:dyDescent="0.15">
      <c r="A37" s="1" t="s">
        <v>11</v>
      </c>
      <c r="B37" s="2" t="s">
        <v>63</v>
      </c>
      <c r="C37" s="2" t="s">
        <v>64</v>
      </c>
      <c r="D37" s="2" t="s">
        <v>198</v>
      </c>
      <c r="E37" s="1">
        <v>0.06</v>
      </c>
      <c r="F37" s="1" t="s">
        <v>224</v>
      </c>
      <c r="G37" s="1" t="s">
        <v>436</v>
      </c>
      <c r="H37" s="1" t="s">
        <v>324</v>
      </c>
      <c r="I37" s="1">
        <f>VLOOKUP($H37,[1]Sheet1!$L:$Y,4,0)</f>
        <v>26.6815</v>
      </c>
      <c r="J37" s="1">
        <f>VLOOKUP($H37,[1]Sheet1!$L:$Y,3,0)</f>
        <v>601</v>
      </c>
    </row>
    <row r="38" spans="1:10" x14ac:dyDescent="0.15">
      <c r="A38" s="1" t="s">
        <v>11</v>
      </c>
      <c r="B38" s="2" t="s">
        <v>65</v>
      </c>
      <c r="C38" s="2" t="s">
        <v>66</v>
      </c>
      <c r="D38" s="2" t="s">
        <v>198</v>
      </c>
      <c r="E38" s="1">
        <v>0.06</v>
      </c>
      <c r="F38" s="1" t="s">
        <v>225</v>
      </c>
      <c r="G38" s="1" t="s">
        <v>437</v>
      </c>
      <c r="H38" s="1" t="s">
        <v>325</v>
      </c>
      <c r="I38" s="1">
        <f>VLOOKUP($H38,[1]Sheet1!$L:$Y,4,0)</f>
        <v>16.634499999999999</v>
      </c>
      <c r="J38" s="1">
        <f>VLOOKUP($H38,[1]Sheet1!$L:$Y,3,0)</f>
        <v>619</v>
      </c>
    </row>
    <row r="39" spans="1:10" x14ac:dyDescent="0.15">
      <c r="A39" s="1" t="s">
        <v>11</v>
      </c>
      <c r="B39" s="2" t="s">
        <v>67</v>
      </c>
      <c r="C39" s="2" t="s">
        <v>68</v>
      </c>
      <c r="D39" s="2" t="s">
        <v>198</v>
      </c>
      <c r="E39" s="1">
        <v>0.06</v>
      </c>
      <c r="F39" s="1" t="s">
        <v>226</v>
      </c>
      <c r="G39" s="1" t="s">
        <v>438</v>
      </c>
      <c r="H39" s="1" t="s">
        <v>326</v>
      </c>
      <c r="I39" s="1">
        <f>VLOOKUP($H39,[1]Sheet1!$L:$Y,4,0)</f>
        <v>10.361499999999999</v>
      </c>
      <c r="J39" s="1">
        <f>VLOOKUP($H39,[1]Sheet1!$L:$Y,3,0)</f>
        <v>637</v>
      </c>
    </row>
    <row r="40" spans="1:10" x14ac:dyDescent="0.15">
      <c r="A40" s="1" t="s">
        <v>11</v>
      </c>
      <c r="B40" s="2" t="s">
        <v>69</v>
      </c>
      <c r="C40" s="2" t="s">
        <v>70</v>
      </c>
      <c r="D40" s="2" t="s">
        <v>198</v>
      </c>
      <c r="E40" s="1">
        <v>0.06</v>
      </c>
      <c r="F40" s="1" t="s">
        <v>227</v>
      </c>
      <c r="G40" s="1" t="s">
        <v>439</v>
      </c>
      <c r="H40" s="1" t="s">
        <v>327</v>
      </c>
      <c r="I40" s="1">
        <f>VLOOKUP($H40,[1]Sheet1!$L:$Y,4,0)</f>
        <v>19.074000000000002</v>
      </c>
      <c r="J40" s="1">
        <f>VLOOKUP($H40,[1]Sheet1!$L:$Y,3,0)</f>
        <v>626</v>
      </c>
    </row>
    <row r="41" spans="1:10" x14ac:dyDescent="0.15">
      <c r="A41" s="1" t="s">
        <v>11</v>
      </c>
      <c r="B41" s="2" t="s">
        <v>71</v>
      </c>
      <c r="C41" s="2" t="s">
        <v>72</v>
      </c>
      <c r="D41" s="2" t="s">
        <v>198</v>
      </c>
      <c r="E41" s="1">
        <v>0.06</v>
      </c>
      <c r="F41" s="1" t="s">
        <v>228</v>
      </c>
      <c r="G41" s="1" t="s">
        <v>440</v>
      </c>
      <c r="H41" s="1" t="s">
        <v>328</v>
      </c>
      <c r="I41" s="1">
        <f>VLOOKUP($H41,[1]Sheet1!$L:$Y,4,0)</f>
        <v>24.785999999999998</v>
      </c>
      <c r="J41" s="1">
        <f>VLOOKUP($H41,[1]Sheet1!$L:$Y,3,0)</f>
        <v>596</v>
      </c>
    </row>
    <row r="42" spans="1:10" x14ac:dyDescent="0.15">
      <c r="A42" s="1" t="s">
        <v>11</v>
      </c>
      <c r="B42" s="2" t="s">
        <v>73</v>
      </c>
      <c r="C42" s="2" t="s">
        <v>74</v>
      </c>
      <c r="D42" s="2" t="s">
        <v>198</v>
      </c>
      <c r="E42" s="1">
        <v>0.06</v>
      </c>
      <c r="F42" s="1" t="s">
        <v>229</v>
      </c>
      <c r="G42" s="1" t="s">
        <v>441</v>
      </c>
      <c r="H42" s="1" t="s">
        <v>329</v>
      </c>
      <c r="I42" s="1">
        <f>VLOOKUP($H42,[1]Sheet1!$L:$Y,4,0)</f>
        <v>20.553000000000001</v>
      </c>
      <c r="J42" s="1">
        <f>VLOOKUP($H42,[1]Sheet1!$L:$Y,3,0)</f>
        <v>622</v>
      </c>
    </row>
    <row r="43" spans="1:10" x14ac:dyDescent="0.15">
      <c r="A43" s="1" t="s">
        <v>11</v>
      </c>
      <c r="B43" s="2" t="s">
        <v>75</v>
      </c>
      <c r="C43" s="2" t="s">
        <v>76</v>
      </c>
      <c r="D43" s="2" t="s">
        <v>198</v>
      </c>
      <c r="E43" s="1">
        <v>0.06</v>
      </c>
      <c r="F43" s="1" t="s">
        <v>230</v>
      </c>
      <c r="G43" s="1" t="s">
        <v>442</v>
      </c>
      <c r="H43" s="1" t="s">
        <v>330</v>
      </c>
      <c r="I43" s="1">
        <f>VLOOKUP($H43,[1]Sheet1!$L:$Y,4,0)</f>
        <v>19.898499999999999</v>
      </c>
      <c r="J43" s="1">
        <f>VLOOKUP($H43,[1]Sheet1!$L:$Y,3,0)</f>
        <v>613</v>
      </c>
    </row>
    <row r="44" spans="1:10" x14ac:dyDescent="0.15">
      <c r="A44" s="1" t="s">
        <v>11</v>
      </c>
      <c r="B44" s="2" t="s">
        <v>77</v>
      </c>
      <c r="C44" s="2" t="s">
        <v>78</v>
      </c>
      <c r="D44" s="2" t="s">
        <v>198</v>
      </c>
      <c r="E44" s="1">
        <v>0.06</v>
      </c>
      <c r="F44" s="1" t="s">
        <v>231</v>
      </c>
      <c r="G44" s="1" t="s">
        <v>443</v>
      </c>
      <c r="H44" s="1" t="s">
        <v>331</v>
      </c>
      <c r="I44" s="1">
        <f>VLOOKUP($H44,[1]Sheet1!$L:$Y,4,0)</f>
        <v>20.161999999999999</v>
      </c>
      <c r="J44" s="1">
        <f>VLOOKUP($H44,[1]Sheet1!$L:$Y,3,0)</f>
        <v>614</v>
      </c>
    </row>
    <row r="45" spans="1:10" x14ac:dyDescent="0.15">
      <c r="A45" s="1" t="s">
        <v>11</v>
      </c>
      <c r="B45" s="2" t="s">
        <v>79</v>
      </c>
      <c r="C45" s="2" t="s">
        <v>80</v>
      </c>
      <c r="D45" s="2" t="s">
        <v>198</v>
      </c>
      <c r="E45" s="1">
        <v>0.06</v>
      </c>
      <c r="F45" s="1" t="s">
        <v>232</v>
      </c>
      <c r="G45" s="1" t="s">
        <v>444</v>
      </c>
      <c r="H45" s="1" t="s">
        <v>332</v>
      </c>
      <c r="I45" s="1">
        <f>VLOOKUP($H45,[1]Sheet1!$L:$Y,4,0)</f>
        <v>24.6585</v>
      </c>
      <c r="J45" s="1">
        <f>VLOOKUP($H45,[1]Sheet1!$L:$Y,3,0)</f>
        <v>617</v>
      </c>
    </row>
    <row r="46" spans="1:10" x14ac:dyDescent="0.15">
      <c r="A46" s="1" t="s">
        <v>11</v>
      </c>
      <c r="B46" s="2" t="s">
        <v>81</v>
      </c>
      <c r="C46" s="2" t="s">
        <v>82</v>
      </c>
      <c r="D46" s="2" t="s">
        <v>198</v>
      </c>
      <c r="E46" s="1">
        <v>0.06</v>
      </c>
      <c r="F46" s="1" t="s">
        <v>233</v>
      </c>
      <c r="G46" s="1" t="s">
        <v>445</v>
      </c>
      <c r="H46" s="1" t="s">
        <v>333</v>
      </c>
      <c r="I46" s="1">
        <f>VLOOKUP($H46,[1]Sheet1!$L:$Y,4,0)</f>
        <v>25.967500000000001</v>
      </c>
      <c r="J46" s="1">
        <f>VLOOKUP($H46,[1]Sheet1!$L:$Y,3,0)</f>
        <v>598</v>
      </c>
    </row>
    <row r="47" spans="1:10" x14ac:dyDescent="0.15">
      <c r="A47" s="1" t="s">
        <v>11</v>
      </c>
      <c r="B47" s="2" t="s">
        <v>83</v>
      </c>
      <c r="C47" s="2" t="s">
        <v>84</v>
      </c>
      <c r="D47" s="2" t="s">
        <v>198</v>
      </c>
      <c r="E47" s="1">
        <v>0.06</v>
      </c>
      <c r="F47" s="1" t="s">
        <v>234</v>
      </c>
      <c r="G47" s="1" t="s">
        <v>446</v>
      </c>
      <c r="H47" s="1" t="s">
        <v>334</v>
      </c>
      <c r="I47" s="1">
        <f>VLOOKUP($H47,[1]Sheet1!$L:$Y,4,0)</f>
        <v>15.563499999999998</v>
      </c>
      <c r="J47" s="1">
        <f>VLOOKUP($H47,[1]Sheet1!$L:$Y,3,0)</f>
        <v>634</v>
      </c>
    </row>
    <row r="48" spans="1:10" x14ac:dyDescent="0.15">
      <c r="A48" s="1" t="s">
        <v>12</v>
      </c>
      <c r="B48" s="2">
        <v>1</v>
      </c>
      <c r="C48" s="2" t="s">
        <v>86</v>
      </c>
      <c r="D48" s="2" t="s">
        <v>199</v>
      </c>
      <c r="E48" s="1">
        <v>0.06</v>
      </c>
      <c r="F48" s="1" t="s">
        <v>236</v>
      </c>
      <c r="G48" s="1" t="s">
        <v>447</v>
      </c>
      <c r="H48" s="1" t="s">
        <v>336</v>
      </c>
      <c r="I48" s="1">
        <f>VLOOKUP($H48,[1]Sheet1!$L:$Y,4,0)</f>
        <v>10.625</v>
      </c>
      <c r="J48" s="1">
        <f>VLOOKUP($H48,[1]Sheet1!$L:$Y,3,0)</f>
        <v>647</v>
      </c>
    </row>
    <row r="49" spans="1:10" x14ac:dyDescent="0.15">
      <c r="A49" s="1" t="s">
        <v>16</v>
      </c>
      <c r="B49" s="1" t="s">
        <v>175</v>
      </c>
      <c r="C49" s="1" t="s">
        <v>176</v>
      </c>
      <c r="D49" s="1" t="s">
        <v>200</v>
      </c>
      <c r="E49" s="1">
        <v>0.06</v>
      </c>
      <c r="F49" s="1" t="s">
        <v>290</v>
      </c>
      <c r="G49" s="1" t="s">
        <v>448</v>
      </c>
      <c r="H49" s="1" t="s">
        <v>390</v>
      </c>
      <c r="I49" s="1">
        <f>VLOOKUP($H49,[1]Sheet1!$L:$Y,4,0)</f>
        <v>13.097</v>
      </c>
      <c r="J49" s="1">
        <f>VLOOKUP($H49,[1]Sheet1!$L:$Y,3,0)</f>
        <v>582</v>
      </c>
    </row>
    <row r="50" spans="1:10" x14ac:dyDescent="0.15">
      <c r="A50" s="1" t="s">
        <v>16</v>
      </c>
      <c r="B50" s="1" t="s">
        <v>177</v>
      </c>
      <c r="C50" s="1" t="s">
        <v>178</v>
      </c>
      <c r="D50" s="1" t="s">
        <v>200</v>
      </c>
      <c r="E50" s="1">
        <v>0.06</v>
      </c>
      <c r="F50" s="1" t="s">
        <v>291</v>
      </c>
      <c r="G50" s="1" t="s">
        <v>449</v>
      </c>
      <c r="H50" s="1" t="s">
        <v>391</v>
      </c>
      <c r="I50" s="1">
        <f>VLOOKUP($H50,[1]Sheet1!$L:$Y,4,0)</f>
        <v>10.562999999999999</v>
      </c>
      <c r="J50" s="1">
        <f>VLOOKUP($H50,[1]Sheet1!$L:$Y,3,0)</f>
        <v>586</v>
      </c>
    </row>
    <row r="51" spans="1:10" x14ac:dyDescent="0.15">
      <c r="A51" s="1" t="s">
        <v>16</v>
      </c>
      <c r="B51" s="1" t="s">
        <v>179</v>
      </c>
      <c r="C51" s="1" t="s">
        <v>180</v>
      </c>
      <c r="D51" s="1" t="s">
        <v>200</v>
      </c>
      <c r="E51" s="1">
        <v>0.06</v>
      </c>
      <c r="F51" s="1" t="s">
        <v>292</v>
      </c>
      <c r="G51" s="1" t="s">
        <v>450</v>
      </c>
      <c r="H51" s="1" t="s">
        <v>392</v>
      </c>
      <c r="I51" s="1">
        <f>VLOOKUP($H51,[1]Sheet1!$L:$Y,4,0)</f>
        <v>11.907</v>
      </c>
      <c r="J51" s="1">
        <f>VLOOKUP($H51,[1]Sheet1!$L:$Y,3,0)</f>
        <v>590</v>
      </c>
    </row>
    <row r="52" spans="1:10" x14ac:dyDescent="0.15">
      <c r="A52" s="1" t="s">
        <v>16</v>
      </c>
      <c r="B52" s="1" t="s">
        <v>181</v>
      </c>
      <c r="C52" s="1" t="s">
        <v>182</v>
      </c>
      <c r="D52" s="1" t="s">
        <v>200</v>
      </c>
      <c r="E52" s="1">
        <v>0.06</v>
      </c>
      <c r="F52" s="1" t="s">
        <v>293</v>
      </c>
      <c r="G52" s="1" t="s">
        <v>451</v>
      </c>
      <c r="H52" s="1" t="s">
        <v>393</v>
      </c>
      <c r="I52" s="1">
        <f>VLOOKUP($H52,[1]Sheet1!$L:$Y,4,0)</f>
        <v>13.929999999999998</v>
      </c>
      <c r="J52" s="1">
        <f>VLOOKUP($H52,[1]Sheet1!$L:$Y,3,0)</f>
        <v>586</v>
      </c>
    </row>
    <row r="53" spans="1:10" x14ac:dyDescent="0.15">
      <c r="A53" s="1" t="s">
        <v>16</v>
      </c>
      <c r="B53" s="1" t="s">
        <v>183</v>
      </c>
      <c r="C53" s="1" t="s">
        <v>184</v>
      </c>
      <c r="D53" s="1" t="s">
        <v>200</v>
      </c>
      <c r="E53" s="1">
        <v>0.06</v>
      </c>
      <c r="F53" s="1" t="s">
        <v>294</v>
      </c>
      <c r="G53" s="1" t="s">
        <v>452</v>
      </c>
      <c r="H53" s="1" t="s">
        <v>394</v>
      </c>
      <c r="I53" s="1">
        <f>VLOOKUP($H53,[1]Sheet1!$L:$Y,4,0)</f>
        <v>11.802</v>
      </c>
      <c r="J53" s="1">
        <f>VLOOKUP($H53,[1]Sheet1!$L:$Y,3,0)</f>
        <v>595</v>
      </c>
    </row>
    <row r="54" spans="1:10" x14ac:dyDescent="0.15">
      <c r="A54" s="1" t="s">
        <v>16</v>
      </c>
      <c r="B54" s="1" t="s">
        <v>185</v>
      </c>
      <c r="C54" s="1" t="s">
        <v>186</v>
      </c>
      <c r="D54" s="1" t="s">
        <v>200</v>
      </c>
      <c r="E54" s="1">
        <v>0.06</v>
      </c>
      <c r="F54" s="1" t="s">
        <v>295</v>
      </c>
      <c r="G54" s="1" t="s">
        <v>453</v>
      </c>
      <c r="H54" s="1" t="s">
        <v>395</v>
      </c>
      <c r="I54" s="1">
        <f>VLOOKUP($H54,[1]Sheet1!$L:$Y,4,0)</f>
        <v>1.2809999999999999</v>
      </c>
      <c r="J54" s="1">
        <f>VLOOKUP($H54,[1]Sheet1!$L:$Y,3,0)</f>
        <v>638</v>
      </c>
    </row>
    <row r="55" spans="1:10" x14ac:dyDescent="0.15">
      <c r="A55" s="1" t="s">
        <v>16</v>
      </c>
      <c r="B55" s="1" t="s">
        <v>187</v>
      </c>
      <c r="C55" s="1" t="s">
        <v>188</v>
      </c>
      <c r="D55" s="1" t="s">
        <v>200</v>
      </c>
      <c r="E55" s="1">
        <v>0.06</v>
      </c>
      <c r="F55" s="1" t="s">
        <v>296</v>
      </c>
      <c r="G55" s="1" t="s">
        <v>454</v>
      </c>
      <c r="H55" s="1" t="s">
        <v>396</v>
      </c>
      <c r="I55" s="1">
        <f>VLOOKUP($H55,[1]Sheet1!$L:$Y,4,0)</f>
        <v>1.9109999999999998</v>
      </c>
      <c r="J55" s="1">
        <f>VLOOKUP($H55,[1]Sheet1!$L:$Y,3,0)</f>
        <v>632</v>
      </c>
    </row>
    <row r="56" spans="1:10" x14ac:dyDescent="0.15">
      <c r="A56" s="1" t="s">
        <v>16</v>
      </c>
      <c r="B56" s="1" t="s">
        <v>189</v>
      </c>
      <c r="C56" s="1" t="s">
        <v>190</v>
      </c>
      <c r="D56" s="1" t="s">
        <v>200</v>
      </c>
      <c r="E56" s="1">
        <v>0.06</v>
      </c>
      <c r="F56" s="1" t="s">
        <v>297</v>
      </c>
      <c r="G56" s="1" t="s">
        <v>455</v>
      </c>
      <c r="H56" s="1" t="s">
        <v>397</v>
      </c>
      <c r="I56" s="1">
        <f>VLOOKUP($H56,[1]Sheet1!$L:$Y,4,0)</f>
        <v>6.5730000000000004</v>
      </c>
      <c r="J56" s="1">
        <f>VLOOKUP($H56,[1]Sheet1!$L:$Y,3,0)</f>
        <v>622</v>
      </c>
    </row>
    <row r="57" spans="1:10" x14ac:dyDescent="0.15">
      <c r="A57" s="1" t="s">
        <v>16</v>
      </c>
      <c r="B57" s="1" t="s">
        <v>191</v>
      </c>
      <c r="C57" s="1" t="s">
        <v>192</v>
      </c>
      <c r="D57" s="1" t="s">
        <v>200</v>
      </c>
      <c r="E57" s="1">
        <v>0.06</v>
      </c>
      <c r="F57" s="1" t="s">
        <v>298</v>
      </c>
      <c r="G57" s="1" t="s">
        <v>456</v>
      </c>
      <c r="H57" s="1" t="s">
        <v>398</v>
      </c>
      <c r="I57" s="1">
        <f>VLOOKUP($H57,[1]Sheet1!$L:$Y,4,0)</f>
        <v>5.6209999999999996</v>
      </c>
      <c r="J57" s="1">
        <f>VLOOKUP($H57,[1]Sheet1!$L:$Y,3,0)</f>
        <v>617</v>
      </c>
    </row>
    <row r="58" spans="1:10" x14ac:dyDescent="0.15">
      <c r="A58" s="1" t="s">
        <v>16</v>
      </c>
      <c r="B58" s="1" t="s">
        <v>193</v>
      </c>
      <c r="C58" s="1" t="s">
        <v>194</v>
      </c>
      <c r="D58" s="1" t="s">
        <v>200</v>
      </c>
      <c r="E58" s="1">
        <v>0.06</v>
      </c>
      <c r="F58" s="1" t="s">
        <v>299</v>
      </c>
      <c r="G58" s="1" t="s">
        <v>457</v>
      </c>
      <c r="H58" s="1" t="s">
        <v>399</v>
      </c>
      <c r="I58" s="1">
        <f>VLOOKUP($H58,[1]Sheet1!$L:$Y,4,0)</f>
        <v>4.1440000000000001</v>
      </c>
      <c r="J58" s="1">
        <f>VLOOKUP($H58,[1]Sheet1!$L:$Y,3,0)</f>
        <v>631</v>
      </c>
    </row>
    <row r="59" spans="1:10" x14ac:dyDescent="0.15">
      <c r="A59" s="1" t="s">
        <v>16</v>
      </c>
      <c r="B59" s="1" t="s">
        <v>195</v>
      </c>
      <c r="C59" s="1" t="s">
        <v>196</v>
      </c>
      <c r="D59" s="1" t="s">
        <v>200</v>
      </c>
      <c r="E59" s="1">
        <v>0.06</v>
      </c>
      <c r="F59" s="1" t="s">
        <v>300</v>
      </c>
      <c r="G59" s="1" t="s">
        <v>458</v>
      </c>
      <c r="H59" s="1" t="s">
        <v>400</v>
      </c>
      <c r="I59" s="1">
        <f>VLOOKUP($H59,[1]Sheet1!$L:$Y,4,0)</f>
        <v>1.2669999999999999</v>
      </c>
      <c r="J59" s="1">
        <f>VLOOKUP($H59,[1]Sheet1!$L:$Y,3,0)</f>
        <v>644</v>
      </c>
    </row>
    <row r="60" spans="1:10" x14ac:dyDescent="0.15">
      <c r="A60" s="1" t="s">
        <v>15</v>
      </c>
      <c r="B60" s="1" t="s">
        <v>113</v>
      </c>
      <c r="C60" s="1" t="s">
        <v>114</v>
      </c>
      <c r="D60" s="1" t="s">
        <v>198</v>
      </c>
      <c r="E60" s="1">
        <v>0.08</v>
      </c>
      <c r="F60" s="1" t="s">
        <v>259</v>
      </c>
      <c r="G60" s="1" t="s">
        <v>459</v>
      </c>
      <c r="H60" s="1" t="s">
        <v>359</v>
      </c>
      <c r="I60" s="1">
        <f>VLOOKUP($H60,[1]Sheet1!$L:$Y,4,0)</f>
        <v>40.199600000000004</v>
      </c>
      <c r="J60" s="1">
        <f>VLOOKUP($H60,[1]Sheet1!$L:$Y,3,0)</f>
        <v>610</v>
      </c>
    </row>
    <row r="61" spans="1:10" x14ac:dyDescent="0.15">
      <c r="A61" s="1" t="s">
        <v>15</v>
      </c>
      <c r="B61" s="1" t="s">
        <v>115</v>
      </c>
      <c r="C61" s="1" t="s">
        <v>116</v>
      </c>
      <c r="D61" s="1" t="s">
        <v>198</v>
      </c>
      <c r="E61" s="1">
        <v>0.08</v>
      </c>
      <c r="F61" s="1" t="s">
        <v>260</v>
      </c>
      <c r="G61" s="1" t="s">
        <v>460</v>
      </c>
      <c r="H61" s="1" t="s">
        <v>360</v>
      </c>
      <c r="I61" s="1">
        <f>VLOOKUP($H61,[1]Sheet1!$L:$Y,4,0)</f>
        <v>6.9383999999999997</v>
      </c>
      <c r="J61" s="1">
        <f>VLOOKUP($H61,[1]Sheet1!$L:$Y,3,0)</f>
        <v>607</v>
      </c>
    </row>
    <row r="62" spans="1:10" x14ac:dyDescent="0.15">
      <c r="A62" s="1" t="s">
        <v>15</v>
      </c>
      <c r="B62" s="1" t="s">
        <v>117</v>
      </c>
      <c r="C62" s="1" t="s">
        <v>118</v>
      </c>
      <c r="D62" s="1" t="s">
        <v>198</v>
      </c>
      <c r="E62" s="1">
        <v>0.08</v>
      </c>
      <c r="F62" s="1" t="s">
        <v>261</v>
      </c>
      <c r="G62" s="1" t="s">
        <v>461</v>
      </c>
      <c r="H62" s="1" t="s">
        <v>361</v>
      </c>
      <c r="I62" s="1">
        <f>VLOOKUP($H62,[1]Sheet1!$L:$Y,4,0)</f>
        <v>38.102400000000003</v>
      </c>
      <c r="J62" s="1">
        <f>VLOOKUP($H62,[1]Sheet1!$L:$Y,3,0)</f>
        <v>578</v>
      </c>
    </row>
    <row r="63" spans="1:10" x14ac:dyDescent="0.15">
      <c r="A63" s="1" t="s">
        <v>15</v>
      </c>
      <c r="B63" s="1" t="s">
        <v>119</v>
      </c>
      <c r="C63" s="1" t="s">
        <v>120</v>
      </c>
      <c r="D63" s="1" t="s">
        <v>198</v>
      </c>
      <c r="E63" s="1">
        <v>0.08</v>
      </c>
      <c r="F63" s="1" t="s">
        <v>262</v>
      </c>
      <c r="G63" s="1" t="s">
        <v>462</v>
      </c>
      <c r="H63" s="1" t="s">
        <v>362</v>
      </c>
      <c r="I63" s="1">
        <f>VLOOKUP($H63,[1]Sheet1!$L:$Y,4,0)</f>
        <v>13.876799999999999</v>
      </c>
      <c r="J63" s="1">
        <f>VLOOKUP($H63,[1]Sheet1!$L:$Y,3,0)</f>
        <v>593</v>
      </c>
    </row>
    <row r="64" spans="1:10" x14ac:dyDescent="0.15">
      <c r="A64" s="1" t="s">
        <v>15</v>
      </c>
      <c r="B64" s="1" t="s">
        <v>121</v>
      </c>
      <c r="C64" s="1" t="s">
        <v>122</v>
      </c>
      <c r="D64" s="1" t="s">
        <v>198</v>
      </c>
      <c r="E64" s="1">
        <v>0.08</v>
      </c>
      <c r="F64" s="1" t="s">
        <v>263</v>
      </c>
      <c r="G64" s="1" t="s">
        <v>463</v>
      </c>
      <c r="H64" s="1" t="s">
        <v>363</v>
      </c>
      <c r="I64" s="1">
        <f>VLOOKUP($H64,[1]Sheet1!$L:$Y,4,0)</f>
        <v>35.181999999999995</v>
      </c>
      <c r="J64" s="1">
        <f>VLOOKUP($H64,[1]Sheet1!$L:$Y,3,0)</f>
        <v>560</v>
      </c>
    </row>
    <row r="65" spans="1:10" x14ac:dyDescent="0.15">
      <c r="A65" s="1" t="s">
        <v>15</v>
      </c>
      <c r="B65" s="1" t="s">
        <v>123</v>
      </c>
      <c r="C65" s="1" t="s">
        <v>124</v>
      </c>
      <c r="D65" s="1" t="s">
        <v>198</v>
      </c>
      <c r="E65" s="1">
        <v>0.08</v>
      </c>
      <c r="F65" s="1" t="s">
        <v>264</v>
      </c>
      <c r="G65" s="1" t="s">
        <v>464</v>
      </c>
      <c r="H65" s="1" t="s">
        <v>364</v>
      </c>
      <c r="I65" s="1">
        <f>VLOOKUP($H65,[1]Sheet1!$L:$Y,4,0)</f>
        <v>54.723200000000006</v>
      </c>
      <c r="J65" s="1">
        <f>VLOOKUP($H65,[1]Sheet1!$L:$Y,3,0)</f>
        <v>558</v>
      </c>
    </row>
    <row r="66" spans="1:10" x14ac:dyDescent="0.15">
      <c r="A66" s="1" t="s">
        <v>15</v>
      </c>
      <c r="B66" s="1" t="s">
        <v>125</v>
      </c>
      <c r="C66" s="1" t="s">
        <v>126</v>
      </c>
      <c r="D66" s="1" t="s">
        <v>198</v>
      </c>
      <c r="E66" s="1">
        <v>0.08</v>
      </c>
      <c r="F66" s="1" t="s">
        <v>265</v>
      </c>
      <c r="G66" s="1" t="s">
        <v>465</v>
      </c>
      <c r="H66" s="1" t="s">
        <v>365</v>
      </c>
      <c r="I66" s="1">
        <f>VLOOKUP($H66,[1]Sheet1!$L:$Y,4,0)</f>
        <v>48.5884</v>
      </c>
      <c r="J66" s="1">
        <f>VLOOKUP($H66,[1]Sheet1!$L:$Y,3,0)</f>
        <v>583</v>
      </c>
    </row>
    <row r="67" spans="1:10" x14ac:dyDescent="0.15">
      <c r="A67" s="1" t="s">
        <v>15</v>
      </c>
      <c r="B67" s="1" t="s">
        <v>127</v>
      </c>
      <c r="C67" s="1" t="s">
        <v>128</v>
      </c>
      <c r="D67" s="1" t="s">
        <v>198</v>
      </c>
      <c r="E67" s="1">
        <v>0.08</v>
      </c>
      <c r="F67" s="1" t="s">
        <v>266</v>
      </c>
      <c r="G67" s="1" t="s">
        <v>466</v>
      </c>
      <c r="H67" s="1" t="s">
        <v>366</v>
      </c>
      <c r="I67" s="1">
        <f>VLOOKUP($H67,[1]Sheet1!$L:$Y,4,0)</f>
        <v>49.2744</v>
      </c>
      <c r="J67" s="1">
        <f>VLOOKUP($H67,[1]Sheet1!$L:$Y,3,0)</f>
        <v>569</v>
      </c>
    </row>
    <row r="68" spans="1:10" x14ac:dyDescent="0.15">
      <c r="A68" s="1" t="s">
        <v>15</v>
      </c>
      <c r="B68" s="1" t="s">
        <v>129</v>
      </c>
      <c r="C68" s="1" t="s">
        <v>130</v>
      </c>
      <c r="D68" s="1" t="s">
        <v>198</v>
      </c>
      <c r="E68" s="1">
        <v>0.08</v>
      </c>
      <c r="F68" s="1" t="s">
        <v>267</v>
      </c>
      <c r="G68" s="1" t="s">
        <v>467</v>
      </c>
      <c r="H68" s="1" t="s">
        <v>367</v>
      </c>
      <c r="I68" s="1">
        <f>VLOOKUP($H68,[1]Sheet1!$L:$Y,4,0)</f>
        <v>41.571600000000004</v>
      </c>
      <c r="J68" s="1">
        <f>VLOOKUP($H68,[1]Sheet1!$L:$Y,3,0)</f>
        <v>580</v>
      </c>
    </row>
    <row r="69" spans="1:10" x14ac:dyDescent="0.15">
      <c r="A69" s="1" t="s">
        <v>15</v>
      </c>
      <c r="B69" s="1" t="s">
        <v>131</v>
      </c>
      <c r="C69" s="1" t="s">
        <v>132</v>
      </c>
      <c r="D69" s="1" t="s">
        <v>198</v>
      </c>
      <c r="E69" s="1">
        <v>0.08</v>
      </c>
      <c r="F69" s="1" t="s">
        <v>268</v>
      </c>
      <c r="G69" s="1" t="s">
        <v>468</v>
      </c>
      <c r="H69" s="1" t="s">
        <v>368</v>
      </c>
      <c r="I69" s="1">
        <f>VLOOKUP($H69,[1]Sheet1!$L:$Y,4,0)</f>
        <v>34.123599999999996</v>
      </c>
      <c r="J69" s="1">
        <f>VLOOKUP($H69,[1]Sheet1!$L:$Y,3,0)</f>
        <v>595</v>
      </c>
    </row>
    <row r="70" spans="1:10" x14ac:dyDescent="0.15">
      <c r="A70" s="1" t="s">
        <v>15</v>
      </c>
      <c r="B70" s="1" t="s">
        <v>133</v>
      </c>
      <c r="C70" s="1" t="s">
        <v>134</v>
      </c>
      <c r="D70" s="1" t="s">
        <v>198</v>
      </c>
      <c r="E70" s="1">
        <v>0.08</v>
      </c>
      <c r="F70" s="1" t="s">
        <v>269</v>
      </c>
      <c r="G70" s="1" t="s">
        <v>469</v>
      </c>
      <c r="H70" s="1" t="s">
        <v>369</v>
      </c>
      <c r="I70" s="1">
        <f>VLOOKUP($H70,[1]Sheet1!$L:$Y,4,0)</f>
        <v>38.416000000000004</v>
      </c>
      <c r="J70" s="1">
        <f>VLOOKUP($H70,[1]Sheet1!$L:$Y,3,0)</f>
        <v>590</v>
      </c>
    </row>
    <row r="71" spans="1:10" x14ac:dyDescent="0.15">
      <c r="A71" s="1" t="s">
        <v>15</v>
      </c>
      <c r="B71" s="1" t="s">
        <v>135</v>
      </c>
      <c r="C71" s="1" t="s">
        <v>136</v>
      </c>
      <c r="D71" s="1" t="s">
        <v>198</v>
      </c>
      <c r="E71" s="1">
        <v>0.08</v>
      </c>
      <c r="F71" s="1" t="s">
        <v>270</v>
      </c>
      <c r="G71" s="1" t="s">
        <v>470</v>
      </c>
      <c r="H71" s="1" t="s">
        <v>370</v>
      </c>
      <c r="I71" s="1">
        <f>VLOOKUP($H71,[1]Sheet1!$L:$Y,4,0)</f>
        <v>21.540400000000002</v>
      </c>
      <c r="J71" s="1">
        <f>VLOOKUP($H71,[1]Sheet1!$L:$Y,3,0)</f>
        <v>603</v>
      </c>
    </row>
    <row r="72" spans="1:10" x14ac:dyDescent="0.15">
      <c r="A72" s="1" t="s">
        <v>15</v>
      </c>
      <c r="B72" s="1" t="s">
        <v>137</v>
      </c>
      <c r="C72" s="1" t="s">
        <v>138</v>
      </c>
      <c r="D72" s="1" t="s">
        <v>198</v>
      </c>
      <c r="E72" s="1">
        <v>0.08</v>
      </c>
      <c r="F72" s="1" t="s">
        <v>271</v>
      </c>
      <c r="G72" s="1" t="s">
        <v>471</v>
      </c>
      <c r="H72" s="1" t="s">
        <v>371</v>
      </c>
      <c r="I72" s="1">
        <f>VLOOKUP($H72,[1]Sheet1!$L:$Y,4,0)</f>
        <v>40.963999999999999</v>
      </c>
      <c r="J72" s="1">
        <f>VLOOKUP($H72,[1]Sheet1!$L:$Y,3,0)</f>
        <v>585</v>
      </c>
    </row>
    <row r="73" spans="1:10" x14ac:dyDescent="0.15">
      <c r="A73" s="1" t="s">
        <v>15</v>
      </c>
      <c r="B73" s="1" t="s">
        <v>139</v>
      </c>
      <c r="C73" s="1" t="s">
        <v>140</v>
      </c>
      <c r="D73" s="1" t="s">
        <v>198</v>
      </c>
      <c r="E73" s="1">
        <v>0.08</v>
      </c>
      <c r="F73" s="1" t="s">
        <v>272</v>
      </c>
      <c r="G73" s="1" t="s">
        <v>472</v>
      </c>
      <c r="H73" s="1" t="s">
        <v>372</v>
      </c>
      <c r="I73" s="1">
        <f>VLOOKUP($H73,[1]Sheet1!$L:$Y,4,0)</f>
        <v>52.547599999999996</v>
      </c>
      <c r="J73" s="1">
        <f>VLOOKUP($H73,[1]Sheet1!$L:$Y,3,0)</f>
        <v>585</v>
      </c>
    </row>
    <row r="74" spans="1:10" x14ac:dyDescent="0.15">
      <c r="A74" s="1" t="s">
        <v>15</v>
      </c>
      <c r="B74" s="1" t="s">
        <v>141</v>
      </c>
      <c r="C74" s="1" t="s">
        <v>142</v>
      </c>
      <c r="D74" s="1" t="s">
        <v>198</v>
      </c>
      <c r="E74" s="1">
        <v>0.08</v>
      </c>
      <c r="F74" s="1" t="s">
        <v>273</v>
      </c>
      <c r="G74" s="1" t="s">
        <v>473</v>
      </c>
      <c r="H74" s="1" t="s">
        <v>373</v>
      </c>
      <c r="I74" s="1">
        <f>VLOOKUP($H74,[1]Sheet1!$L:$Y,4,0)</f>
        <v>42.414400000000001</v>
      </c>
      <c r="J74" s="1">
        <f>VLOOKUP($H74,[1]Sheet1!$L:$Y,3,0)</f>
        <v>593</v>
      </c>
    </row>
    <row r="75" spans="1:10" x14ac:dyDescent="0.15">
      <c r="A75" s="1" t="s">
        <v>15</v>
      </c>
      <c r="B75" s="1" t="s">
        <v>143</v>
      </c>
      <c r="C75" s="1" t="s">
        <v>144</v>
      </c>
      <c r="D75" s="1" t="s">
        <v>198</v>
      </c>
      <c r="E75" s="1">
        <v>0.08</v>
      </c>
      <c r="F75" s="1" t="s">
        <v>274</v>
      </c>
      <c r="G75" s="1" t="s">
        <v>474</v>
      </c>
      <c r="H75" s="1" t="s">
        <v>374</v>
      </c>
      <c r="I75" s="1">
        <f>VLOOKUP($H75,[1]Sheet1!$L:$Y,4,0)</f>
        <v>42.061599999999999</v>
      </c>
      <c r="J75" s="1">
        <f>VLOOKUP($H75,[1]Sheet1!$L:$Y,3,0)</f>
        <v>580</v>
      </c>
    </row>
    <row r="76" spans="1:10" x14ac:dyDescent="0.15">
      <c r="A76" s="1" t="s">
        <v>15</v>
      </c>
      <c r="B76" s="1" t="s">
        <v>145</v>
      </c>
      <c r="C76" s="1" t="s">
        <v>146</v>
      </c>
      <c r="D76" s="1" t="s">
        <v>198</v>
      </c>
      <c r="E76" s="1">
        <v>0.08</v>
      </c>
      <c r="F76" s="1" t="s">
        <v>275</v>
      </c>
      <c r="G76" s="1" t="s">
        <v>475</v>
      </c>
      <c r="H76" s="1" t="s">
        <v>375</v>
      </c>
      <c r="I76" s="1">
        <f>VLOOKUP($H76,[1]Sheet1!$L:$Y,4,0)</f>
        <v>31.653999999999996</v>
      </c>
      <c r="J76" s="1">
        <f>VLOOKUP($H76,[1]Sheet1!$L:$Y,3,0)</f>
        <v>611</v>
      </c>
    </row>
    <row r="77" spans="1:10" x14ac:dyDescent="0.15">
      <c r="A77" s="1" t="s">
        <v>15</v>
      </c>
      <c r="B77" s="1" t="s">
        <v>147</v>
      </c>
      <c r="C77" s="1" t="s">
        <v>148</v>
      </c>
      <c r="D77" s="1" t="s">
        <v>198</v>
      </c>
      <c r="E77" s="1">
        <v>0.08</v>
      </c>
      <c r="F77" s="1" t="s">
        <v>276</v>
      </c>
      <c r="G77" s="1" t="s">
        <v>476</v>
      </c>
      <c r="H77" s="1" t="s">
        <v>376</v>
      </c>
      <c r="I77" s="1">
        <f>VLOOKUP($H77,[1]Sheet1!$L:$Y,4,0)</f>
        <v>45.276000000000003</v>
      </c>
      <c r="J77" s="1">
        <f>VLOOKUP($H77,[1]Sheet1!$L:$Y,3,0)</f>
        <v>584</v>
      </c>
    </row>
    <row r="78" spans="1:10" x14ac:dyDescent="0.15">
      <c r="A78" s="1" t="s">
        <v>15</v>
      </c>
      <c r="B78" s="1" t="s">
        <v>149</v>
      </c>
      <c r="C78" s="1" t="s">
        <v>150</v>
      </c>
      <c r="D78" s="1" t="s">
        <v>198</v>
      </c>
      <c r="E78" s="1">
        <v>0.08</v>
      </c>
      <c r="F78" s="1" t="s">
        <v>277</v>
      </c>
      <c r="G78" s="1" t="s">
        <v>477</v>
      </c>
      <c r="H78" s="1" t="s">
        <v>377</v>
      </c>
      <c r="I78" s="1">
        <f>VLOOKUP($H78,[1]Sheet1!$L:$Y,4,0)</f>
        <v>35.809199999999997</v>
      </c>
      <c r="J78" s="1">
        <f>VLOOKUP($H78,[1]Sheet1!$L:$Y,3,0)</f>
        <v>593</v>
      </c>
    </row>
    <row r="79" spans="1:10" x14ac:dyDescent="0.15">
      <c r="A79" s="1" t="s">
        <v>15</v>
      </c>
      <c r="B79" s="1" t="s">
        <v>151</v>
      </c>
      <c r="C79" s="1" t="s">
        <v>152</v>
      </c>
      <c r="D79" s="1" t="s">
        <v>198</v>
      </c>
      <c r="E79" s="1">
        <v>0.08</v>
      </c>
      <c r="F79" s="1" t="s">
        <v>278</v>
      </c>
      <c r="G79" s="1" t="s">
        <v>478</v>
      </c>
      <c r="H79" s="1" t="s">
        <v>378</v>
      </c>
      <c r="I79" s="1">
        <f>VLOOKUP($H79,[1]Sheet1!$L:$Y,4,0)</f>
        <v>39.964399999999998</v>
      </c>
      <c r="J79" s="1">
        <f>VLOOKUP($H79,[1]Sheet1!$L:$Y,3,0)</f>
        <v>614</v>
      </c>
    </row>
    <row r="80" spans="1:10" x14ac:dyDescent="0.15">
      <c r="A80" s="1" t="s">
        <v>15</v>
      </c>
      <c r="B80" s="1" t="s">
        <v>153</v>
      </c>
      <c r="C80" s="1" t="s">
        <v>154</v>
      </c>
      <c r="D80" s="1" t="s">
        <v>198</v>
      </c>
      <c r="E80" s="1">
        <v>0.08</v>
      </c>
      <c r="F80" s="1" t="s">
        <v>279</v>
      </c>
      <c r="G80" s="1" t="s">
        <v>479</v>
      </c>
      <c r="H80" s="1" t="s">
        <v>379</v>
      </c>
      <c r="I80" s="1">
        <f>VLOOKUP($H80,[1]Sheet1!$L:$Y,4,0)</f>
        <v>55.781599999999997</v>
      </c>
      <c r="J80" s="1">
        <f>VLOOKUP($H80,[1]Sheet1!$L:$Y,3,0)</f>
        <v>571</v>
      </c>
    </row>
    <row r="81" spans="1:10" x14ac:dyDescent="0.15">
      <c r="A81" s="1" t="s">
        <v>15</v>
      </c>
      <c r="B81" s="1" t="s">
        <v>155</v>
      </c>
      <c r="C81" s="1" t="s">
        <v>156</v>
      </c>
      <c r="D81" s="1" t="s">
        <v>198</v>
      </c>
      <c r="E81" s="1">
        <v>0.08</v>
      </c>
      <c r="F81" s="1" t="s">
        <v>280</v>
      </c>
      <c r="G81" s="1" t="s">
        <v>480</v>
      </c>
      <c r="H81" s="1" t="s">
        <v>380</v>
      </c>
      <c r="I81" s="1">
        <f>VLOOKUP($H81,[1]Sheet1!$L:$Y,4,0)</f>
        <v>65.444400000000002</v>
      </c>
      <c r="J81" s="1">
        <f>VLOOKUP($H81,[1]Sheet1!$L:$Y,3,0)</f>
        <v>569</v>
      </c>
    </row>
    <row r="82" spans="1:10" x14ac:dyDescent="0.15">
      <c r="A82" s="1" t="s">
        <v>15</v>
      </c>
      <c r="B82" s="1" t="s">
        <v>157</v>
      </c>
      <c r="C82" s="1" t="s">
        <v>158</v>
      </c>
      <c r="D82" s="1" t="s">
        <v>198</v>
      </c>
      <c r="E82" s="1">
        <v>0.08</v>
      </c>
      <c r="F82" s="1" t="s">
        <v>281</v>
      </c>
      <c r="G82" s="1" t="s">
        <v>481</v>
      </c>
      <c r="H82" s="1" t="s">
        <v>381</v>
      </c>
      <c r="I82" s="1">
        <f>VLOOKUP($H82,[1]Sheet1!$L:$Y,4,0)</f>
        <v>60.211199999999998</v>
      </c>
      <c r="J82" s="1">
        <f>VLOOKUP($H82,[1]Sheet1!$L:$Y,3,0)</f>
        <v>593</v>
      </c>
    </row>
    <row r="83" spans="1:10" x14ac:dyDescent="0.15">
      <c r="A83" s="1" t="s">
        <v>15</v>
      </c>
      <c r="B83" s="1" t="s">
        <v>159</v>
      </c>
      <c r="C83" s="1" t="s">
        <v>160</v>
      </c>
      <c r="D83" s="1" t="s">
        <v>198</v>
      </c>
      <c r="E83" s="1">
        <v>0.08</v>
      </c>
      <c r="F83" s="1" t="s">
        <v>282</v>
      </c>
      <c r="G83" s="1" t="s">
        <v>482</v>
      </c>
      <c r="H83" s="1" t="s">
        <v>382</v>
      </c>
      <c r="I83" s="1">
        <f>VLOOKUP($H83,[1]Sheet1!$L:$Y,4,0)</f>
        <v>71.951599999999999</v>
      </c>
      <c r="J83" s="1">
        <f>VLOOKUP($H83,[1]Sheet1!$L:$Y,3,0)</f>
        <v>564</v>
      </c>
    </row>
    <row r="84" spans="1:10" x14ac:dyDescent="0.15">
      <c r="A84" s="1" t="s">
        <v>15</v>
      </c>
      <c r="B84" s="1" t="s">
        <v>161</v>
      </c>
      <c r="C84" s="1" t="s">
        <v>162</v>
      </c>
      <c r="D84" s="1" t="s">
        <v>198</v>
      </c>
      <c r="E84" s="1">
        <v>0.08</v>
      </c>
      <c r="F84" s="1" t="s">
        <v>283</v>
      </c>
      <c r="G84" s="1" t="s">
        <v>483</v>
      </c>
      <c r="H84" s="1" t="s">
        <v>383</v>
      </c>
      <c r="I84" s="1">
        <f>VLOOKUP($H84,[1]Sheet1!$L:$Y,4,0)</f>
        <v>31.007200000000001</v>
      </c>
      <c r="J84" s="1">
        <f>VLOOKUP($H84,[1]Sheet1!$L:$Y,3,0)</f>
        <v>620</v>
      </c>
    </row>
    <row r="85" spans="1:10" x14ac:dyDescent="0.15">
      <c r="A85" s="1" t="s">
        <v>15</v>
      </c>
      <c r="B85" s="1" t="s">
        <v>163</v>
      </c>
      <c r="C85" s="1" t="s">
        <v>164</v>
      </c>
      <c r="D85" s="1" t="s">
        <v>198</v>
      </c>
      <c r="E85" s="1">
        <v>0.08</v>
      </c>
      <c r="F85" s="1" t="s">
        <v>284</v>
      </c>
      <c r="G85" s="1" t="s">
        <v>484</v>
      </c>
      <c r="H85" s="1" t="s">
        <v>384</v>
      </c>
      <c r="I85" s="1">
        <f>VLOOKUP($H85,[1]Sheet1!$L:$Y,4,0)</f>
        <v>40.4544</v>
      </c>
      <c r="J85" s="1">
        <f>VLOOKUP($H85,[1]Sheet1!$L:$Y,3,0)</f>
        <v>601</v>
      </c>
    </row>
    <row r="86" spans="1:10" x14ac:dyDescent="0.15">
      <c r="A86" s="1" t="s">
        <v>15</v>
      </c>
      <c r="B86" s="1" t="s">
        <v>165</v>
      </c>
      <c r="C86" s="1" t="s">
        <v>166</v>
      </c>
      <c r="D86" s="1" t="s">
        <v>198</v>
      </c>
      <c r="E86" s="1">
        <v>0.08</v>
      </c>
      <c r="F86" s="1" t="s">
        <v>285</v>
      </c>
      <c r="G86" s="1" t="s">
        <v>485</v>
      </c>
      <c r="H86" s="1" t="s">
        <v>385</v>
      </c>
      <c r="I86" s="1">
        <f>VLOOKUP($H86,[1]Sheet1!$L:$Y,4,0)</f>
        <v>44.178399999999996</v>
      </c>
      <c r="J86" s="1">
        <f>VLOOKUP($H86,[1]Sheet1!$L:$Y,3,0)</f>
        <v>598</v>
      </c>
    </row>
    <row r="87" spans="1:10" x14ac:dyDescent="0.15">
      <c r="A87" s="1" t="s">
        <v>15</v>
      </c>
      <c r="B87" s="1" t="s">
        <v>167</v>
      </c>
      <c r="C87" s="1" t="s">
        <v>168</v>
      </c>
      <c r="D87" s="1" t="s">
        <v>198</v>
      </c>
      <c r="E87" s="1">
        <v>0.08</v>
      </c>
      <c r="F87" s="1" t="s">
        <v>286</v>
      </c>
      <c r="G87" s="1" t="s">
        <v>486</v>
      </c>
      <c r="H87" s="1" t="s">
        <v>386</v>
      </c>
      <c r="I87" s="1">
        <f>VLOOKUP($H87,[1]Sheet1!$L:$Y,4,0)</f>
        <v>49.98</v>
      </c>
      <c r="J87" s="1">
        <f>VLOOKUP($H87,[1]Sheet1!$L:$Y,3,0)</f>
        <v>604</v>
      </c>
    </row>
    <row r="88" spans="1:10" x14ac:dyDescent="0.15">
      <c r="A88" s="1" t="s">
        <v>15</v>
      </c>
      <c r="B88" s="1" t="s">
        <v>169</v>
      </c>
      <c r="C88" s="1" t="s">
        <v>170</v>
      </c>
      <c r="D88" s="1" t="s">
        <v>198</v>
      </c>
      <c r="E88" s="1">
        <v>0.08</v>
      </c>
      <c r="F88" s="1" t="s">
        <v>287</v>
      </c>
      <c r="G88" s="1" t="s">
        <v>487</v>
      </c>
      <c r="H88" s="1" t="s">
        <v>387</v>
      </c>
      <c r="I88" s="1">
        <f>VLOOKUP($H88,[1]Sheet1!$L:$Y,4,0)</f>
        <v>60.877599999999994</v>
      </c>
      <c r="J88" s="1">
        <f>VLOOKUP($H88,[1]Sheet1!$L:$Y,3,0)</f>
        <v>587</v>
      </c>
    </row>
    <row r="89" spans="1:10" x14ac:dyDescent="0.15">
      <c r="A89" s="1" t="s">
        <v>15</v>
      </c>
      <c r="B89" s="1" t="s">
        <v>171</v>
      </c>
      <c r="C89" s="1" t="s">
        <v>172</v>
      </c>
      <c r="D89" s="1" t="s">
        <v>198</v>
      </c>
      <c r="E89" s="1">
        <v>0.08</v>
      </c>
      <c r="F89" s="1" t="s">
        <v>288</v>
      </c>
      <c r="G89" s="1" t="s">
        <v>488</v>
      </c>
      <c r="H89" s="1" t="s">
        <v>388</v>
      </c>
      <c r="I89" s="1">
        <f>VLOOKUP($H89,[1]Sheet1!$L:$Y,4,0)</f>
        <v>66.444000000000003</v>
      </c>
      <c r="J89" s="1">
        <f>VLOOKUP($H89,[1]Sheet1!$L:$Y,3,0)</f>
        <v>608</v>
      </c>
    </row>
  </sheetData>
  <phoneticPr fontId="2" type="noConversion"/>
  <conditionalFormatting sqref="G90:G97 G110:G1048576 F26:F50 G1">
    <cfRule type="duplicateValues" dxfId="14" priority="8"/>
  </conditionalFormatting>
  <conditionalFormatting sqref="G1 G90:G97 G110:G1048576">
    <cfRule type="duplicateValues" dxfId="13" priority="7"/>
  </conditionalFormatting>
  <conditionalFormatting sqref="F25">
    <cfRule type="duplicateValues" dxfId="12" priority="6"/>
  </conditionalFormatting>
  <conditionalFormatting sqref="F2:F24">
    <cfRule type="duplicateValues" dxfId="11" priority="5"/>
  </conditionalFormatting>
  <conditionalFormatting sqref="G2:G89">
    <cfRule type="duplicateValues" dxfId="10" priority="1"/>
    <cfRule type="duplicateValues" dxfId="9" priority="3"/>
    <cfRule type="duplicateValues" dxfId="8" priority="4"/>
  </conditionalFormatting>
  <conditionalFormatting sqref="H2:H25">
    <cfRule type="duplicateValues" dxfId="7" priority="2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6A47-FCFF-4986-9A61-7FE393F27B66}">
  <dimension ref="A1:J13"/>
  <sheetViews>
    <sheetView topLeftCell="B1" workbookViewId="0">
      <selection activeCell="B2" sqref="A2:XFD13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12.5" customWidth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11.25" x14ac:dyDescent="0.15">
      <c r="A2" s="4" t="s">
        <v>10</v>
      </c>
      <c r="B2" s="1" t="s">
        <v>17</v>
      </c>
      <c r="C2" s="1" t="s">
        <v>18</v>
      </c>
      <c r="D2" s="1" t="s">
        <v>197</v>
      </c>
      <c r="E2" s="1">
        <v>0.06</v>
      </c>
      <c r="F2" s="1" t="s">
        <v>201</v>
      </c>
      <c r="G2" s="1" t="s">
        <v>489</v>
      </c>
      <c r="H2" s="1" t="s">
        <v>301</v>
      </c>
      <c r="I2" s="1">
        <f>VLOOKUP($H2,[1]Sheet1!$L:$Y,4,0)</f>
        <v>10.064</v>
      </c>
      <c r="J2" s="1">
        <f>VLOOKUP($H2,[1]Sheet1!$L:$Y,3,0)</f>
        <v>375</v>
      </c>
    </row>
    <row r="3" spans="1:10" s="1" customFormat="1" ht="11.25" x14ac:dyDescent="0.15">
      <c r="A3" s="4" t="s">
        <v>10</v>
      </c>
      <c r="B3" s="1" t="s">
        <v>19</v>
      </c>
      <c r="C3" s="1" t="s">
        <v>20</v>
      </c>
      <c r="D3" s="1" t="s">
        <v>197</v>
      </c>
      <c r="E3" s="1">
        <v>0.06</v>
      </c>
      <c r="F3" s="1" t="s">
        <v>202</v>
      </c>
      <c r="G3" s="1" t="s">
        <v>490</v>
      </c>
      <c r="H3" s="1" t="s">
        <v>302</v>
      </c>
      <c r="I3" s="1">
        <f>VLOOKUP($H3,[1]Sheet1!$L:$Y,4,0)</f>
        <v>5.5505000000000004</v>
      </c>
      <c r="J3" s="1">
        <f>VLOOKUP($H3,[1]Sheet1!$L:$Y,3,0)</f>
        <v>407</v>
      </c>
    </row>
    <row r="4" spans="1:10" s="1" customFormat="1" ht="11.25" x14ac:dyDescent="0.15">
      <c r="A4" s="4" t="s">
        <v>10</v>
      </c>
      <c r="B4" s="1" t="s">
        <v>21</v>
      </c>
      <c r="C4" s="1" t="s">
        <v>22</v>
      </c>
      <c r="D4" s="1" t="s">
        <v>197</v>
      </c>
      <c r="E4" s="1">
        <v>0.06</v>
      </c>
      <c r="F4" s="1" t="s">
        <v>203</v>
      </c>
      <c r="G4" s="1" t="s">
        <v>491</v>
      </c>
      <c r="H4" s="1" t="s">
        <v>303</v>
      </c>
      <c r="I4" s="1">
        <f>VLOOKUP($H4,[1]Sheet1!$L:$Y,4,0)</f>
        <v>3.0514999999999999</v>
      </c>
      <c r="J4" s="1">
        <f>VLOOKUP($H4,[1]Sheet1!$L:$Y,3,0)</f>
        <v>400</v>
      </c>
    </row>
    <row r="5" spans="1:10" s="1" customFormat="1" ht="11.25" x14ac:dyDescent="0.15">
      <c r="A5" s="4" t="s">
        <v>10</v>
      </c>
      <c r="B5" s="2" t="s">
        <v>23</v>
      </c>
      <c r="C5" s="2" t="s">
        <v>24</v>
      </c>
      <c r="D5" s="2" t="s">
        <v>197</v>
      </c>
      <c r="E5" s="1">
        <v>0.06</v>
      </c>
      <c r="F5" s="1" t="s">
        <v>204</v>
      </c>
      <c r="G5" s="1" t="s">
        <v>492</v>
      </c>
      <c r="H5" s="1" t="s">
        <v>304</v>
      </c>
      <c r="I5" s="1">
        <f>VLOOKUP($H5,[1]Sheet1!$L:$Y,4,0)</f>
        <v>3.7909999999999999</v>
      </c>
      <c r="J5" s="1">
        <f>VLOOKUP($H5,[1]Sheet1!$L:$Y,3,0)</f>
        <v>400</v>
      </c>
    </row>
    <row r="6" spans="1:10" s="1" customFormat="1" ht="11.25" x14ac:dyDescent="0.15">
      <c r="A6" s="4" t="s">
        <v>10</v>
      </c>
      <c r="B6" s="2" t="s">
        <v>25</v>
      </c>
      <c r="C6" s="2" t="s">
        <v>26</v>
      </c>
      <c r="D6" s="2" t="s">
        <v>197</v>
      </c>
      <c r="E6" s="1">
        <v>0.06</v>
      </c>
      <c r="F6" s="1" t="s">
        <v>205</v>
      </c>
      <c r="G6" s="1" t="s">
        <v>493</v>
      </c>
      <c r="H6" s="1" t="s">
        <v>305</v>
      </c>
      <c r="I6" s="1">
        <f>VLOOKUP($H6,[1]Sheet1!$L:$Y,4,0)</f>
        <v>6.6979999999999995</v>
      </c>
      <c r="J6" s="1">
        <f>VLOOKUP($H6,[1]Sheet1!$L:$Y,3,0)</f>
        <v>400</v>
      </c>
    </row>
    <row r="7" spans="1:10" s="1" customFormat="1" ht="11.25" x14ac:dyDescent="0.15">
      <c r="A7" s="4" t="s">
        <v>10</v>
      </c>
      <c r="B7" s="1" t="s">
        <v>27</v>
      </c>
      <c r="C7" s="1" t="s">
        <v>28</v>
      </c>
      <c r="D7" s="2" t="s">
        <v>197</v>
      </c>
      <c r="E7" s="1">
        <v>0.06</v>
      </c>
      <c r="F7" s="1" t="s">
        <v>206</v>
      </c>
      <c r="G7" s="1" t="s">
        <v>494</v>
      </c>
      <c r="H7" s="1" t="s">
        <v>306</v>
      </c>
      <c r="I7" s="1">
        <f>VLOOKUP($H7,[1]Sheet1!$L:$Y,4,0)</f>
        <v>3.8080000000000003</v>
      </c>
      <c r="J7" s="1">
        <f>VLOOKUP($H7,[1]Sheet1!$L:$Y,3,0)</f>
        <v>400</v>
      </c>
    </row>
    <row r="8" spans="1:10" s="1" customFormat="1" ht="11.25" x14ac:dyDescent="0.15">
      <c r="A8" s="4" t="s">
        <v>10</v>
      </c>
      <c r="B8" s="2" t="s">
        <v>29</v>
      </c>
      <c r="C8" s="2" t="s">
        <v>30</v>
      </c>
      <c r="D8" s="2" t="s">
        <v>197</v>
      </c>
      <c r="E8" s="1">
        <v>0.06</v>
      </c>
      <c r="F8" s="1" t="s">
        <v>207</v>
      </c>
      <c r="G8" s="1" t="s">
        <v>495</v>
      </c>
      <c r="H8" s="1" t="s">
        <v>307</v>
      </c>
      <c r="I8" s="1">
        <f>VLOOKUP($H8,[1]Sheet1!$L:$Y,4,0)</f>
        <v>2.1675</v>
      </c>
      <c r="J8" s="1">
        <f>VLOOKUP($H8,[1]Sheet1!$L:$Y,3,0)</f>
        <v>400</v>
      </c>
    </row>
    <row r="9" spans="1:10" s="1" customFormat="1" ht="11.25" x14ac:dyDescent="0.15">
      <c r="A9" s="4" t="s">
        <v>10</v>
      </c>
      <c r="B9" s="2" t="s">
        <v>31</v>
      </c>
      <c r="C9" s="2" t="s">
        <v>32</v>
      </c>
      <c r="D9" s="2" t="s">
        <v>197</v>
      </c>
      <c r="E9" s="1">
        <v>0.06</v>
      </c>
      <c r="F9" s="1" t="s">
        <v>208</v>
      </c>
      <c r="G9" s="1" t="s">
        <v>496</v>
      </c>
      <c r="H9" s="1" t="s">
        <v>308</v>
      </c>
      <c r="I9" s="1">
        <f>VLOOKUP($H9,[1]Sheet1!$L:$Y,4,0)</f>
        <v>2.0739999999999998</v>
      </c>
      <c r="J9" s="1">
        <f>VLOOKUP($H9,[1]Sheet1!$L:$Y,3,0)</f>
        <v>400</v>
      </c>
    </row>
    <row r="10" spans="1:10" s="1" customFormat="1" ht="11.25" x14ac:dyDescent="0.15">
      <c r="A10" s="4" t="s">
        <v>10</v>
      </c>
      <c r="B10" s="2" t="s">
        <v>33</v>
      </c>
      <c r="C10" s="2" t="s">
        <v>34</v>
      </c>
      <c r="D10" s="2" t="s">
        <v>197</v>
      </c>
      <c r="E10" s="1">
        <v>0.06</v>
      </c>
      <c r="F10" s="1" t="s">
        <v>209</v>
      </c>
      <c r="G10" s="1" t="s">
        <v>497</v>
      </c>
      <c r="H10" s="1" t="s">
        <v>309</v>
      </c>
      <c r="I10" s="1">
        <f>VLOOKUP($H10,[1]Sheet1!$L:$Y,4,0)</f>
        <v>5.1084999999999994</v>
      </c>
      <c r="J10" s="1">
        <f>VLOOKUP($H10,[1]Sheet1!$L:$Y,3,0)</f>
        <v>400</v>
      </c>
    </row>
    <row r="11" spans="1:10" s="1" customFormat="1" ht="11.25" x14ac:dyDescent="0.15">
      <c r="A11" s="1" t="s">
        <v>14</v>
      </c>
      <c r="B11" s="1" t="s">
        <v>109</v>
      </c>
      <c r="C11" s="1" t="s">
        <v>110</v>
      </c>
      <c r="D11" s="1" t="s">
        <v>197</v>
      </c>
      <c r="E11" s="1">
        <v>0.06</v>
      </c>
      <c r="F11" s="1" t="s">
        <v>257</v>
      </c>
      <c r="G11" s="1" t="s">
        <v>498</v>
      </c>
      <c r="H11" s="1" t="s">
        <v>357</v>
      </c>
      <c r="I11" s="1">
        <f>VLOOKUP($H11,[1]Sheet1!$L:$Y,4,0)</f>
        <v>3.8505000000000003</v>
      </c>
      <c r="J11" s="1">
        <f>VLOOKUP($H11,[1]Sheet1!$L:$Y,3,0)</f>
        <v>450</v>
      </c>
    </row>
    <row r="12" spans="1:10" s="1" customFormat="1" ht="11.25" x14ac:dyDescent="0.15">
      <c r="A12" s="1" t="s">
        <v>14</v>
      </c>
      <c r="B12" s="1" t="s">
        <v>111</v>
      </c>
      <c r="C12" s="1" t="s">
        <v>112</v>
      </c>
      <c r="D12" s="1" t="s">
        <v>197</v>
      </c>
      <c r="E12" s="1">
        <v>0.06</v>
      </c>
      <c r="F12" s="1" t="s">
        <v>258</v>
      </c>
      <c r="G12" s="1" t="s">
        <v>499</v>
      </c>
      <c r="H12" s="1" t="s">
        <v>358</v>
      </c>
      <c r="I12" s="1">
        <f>VLOOKUP($H12,[1]Sheet1!$L:$Y,4,0)</f>
        <v>3.6379999999999999</v>
      </c>
      <c r="J12" s="1">
        <f>VLOOKUP($H12,[1]Sheet1!$L:$Y,3,0)</f>
        <v>493</v>
      </c>
    </row>
    <row r="13" spans="1:10" s="1" customFormat="1" ht="11.25" x14ac:dyDescent="0.15">
      <c r="A13" s="1" t="s">
        <v>14</v>
      </c>
      <c r="B13" s="1" t="s">
        <v>107</v>
      </c>
      <c r="C13" s="1" t="s">
        <v>108</v>
      </c>
      <c r="D13" s="1" t="s">
        <v>197</v>
      </c>
      <c r="E13" s="1">
        <v>0.06</v>
      </c>
      <c r="F13" s="1" t="s">
        <v>256</v>
      </c>
      <c r="G13" s="1" t="s">
        <v>500</v>
      </c>
      <c r="H13" s="1" t="s">
        <v>356</v>
      </c>
      <c r="I13" s="1">
        <f>VLOOKUP($H13,[1]Sheet1!$L:$Y,4,0)</f>
        <v>6.4484000000000004</v>
      </c>
      <c r="J13" s="1">
        <f>VLOOKUP($H13,[1]Sheet1!$L:$Y,3,0)</f>
        <v>503</v>
      </c>
    </row>
  </sheetData>
  <phoneticPr fontId="2" type="noConversion"/>
  <conditionalFormatting sqref="G13 F2:F12">
    <cfRule type="duplicateValues" dxfId="6" priority="4"/>
  </conditionalFormatting>
  <conditionalFormatting sqref="G2:G13">
    <cfRule type="duplicateValues" dxfId="5" priority="3"/>
  </conditionalFormatting>
  <conditionalFormatting sqref="G1">
    <cfRule type="duplicateValues" dxfId="4" priority="2"/>
  </conditionalFormatting>
  <conditionalFormatting sqref="G1">
    <cfRule type="duplicateValues" dxfId="3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A7AC-2EB2-4A74-A310-DCD03B195BC2}">
  <dimension ref="A1:J18"/>
  <sheetViews>
    <sheetView tabSelected="1" workbookViewId="0">
      <selection activeCell="A33" sqref="A33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7" max="7" width="14.75" bestFit="1" customWidth="1"/>
    <col min="8" max="8" width="20.875" customWidth="1"/>
    <col min="9" max="9" width="14.75" customWidth="1"/>
    <col min="10" max="10" width="14.5" customWidth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11.25" x14ac:dyDescent="0.15">
      <c r="A2" s="4" t="s">
        <v>501</v>
      </c>
      <c r="B2" s="1">
        <v>63</v>
      </c>
      <c r="C2" s="1" t="s">
        <v>502</v>
      </c>
      <c r="D2" s="1" t="s">
        <v>503</v>
      </c>
      <c r="E2" s="1">
        <v>0.02</v>
      </c>
      <c r="F2" s="1" t="s">
        <v>504</v>
      </c>
      <c r="G2" s="1" t="s">
        <v>569</v>
      </c>
      <c r="H2" s="1" t="s">
        <v>505</v>
      </c>
      <c r="I2" s="1">
        <v>21.7273</v>
      </c>
      <c r="J2" s="1">
        <v>622</v>
      </c>
    </row>
    <row r="3" spans="1:10" s="1" customFormat="1" ht="11.25" x14ac:dyDescent="0.15">
      <c r="A3" s="4" t="s">
        <v>501</v>
      </c>
      <c r="B3" s="1">
        <v>64</v>
      </c>
      <c r="C3" s="1" t="s">
        <v>506</v>
      </c>
      <c r="D3" s="1" t="s">
        <v>503</v>
      </c>
      <c r="E3" s="1">
        <v>0.04</v>
      </c>
      <c r="F3" s="1" t="s">
        <v>507</v>
      </c>
      <c r="G3" s="1" t="s">
        <v>570</v>
      </c>
      <c r="H3" s="1" t="s">
        <v>508</v>
      </c>
      <c r="I3" s="1">
        <v>17.2514</v>
      </c>
      <c r="J3" s="1">
        <v>615</v>
      </c>
    </row>
    <row r="4" spans="1:10" s="1" customFormat="1" ht="11.25" x14ac:dyDescent="0.15">
      <c r="A4" s="4" t="s">
        <v>501</v>
      </c>
      <c r="B4" s="1">
        <v>66</v>
      </c>
      <c r="C4" s="1" t="s">
        <v>509</v>
      </c>
      <c r="D4" s="1" t="s">
        <v>503</v>
      </c>
      <c r="E4" s="1">
        <v>0.02</v>
      </c>
      <c r="F4" s="1" t="s">
        <v>510</v>
      </c>
      <c r="G4" s="1" t="s">
        <v>571</v>
      </c>
      <c r="H4" s="1" t="s">
        <v>511</v>
      </c>
      <c r="I4" s="1">
        <v>22.924099999999999</v>
      </c>
      <c r="J4" s="1">
        <v>617</v>
      </c>
    </row>
    <row r="5" spans="1:10" s="1" customFormat="1" ht="11.25" x14ac:dyDescent="0.15">
      <c r="A5" s="4" t="s">
        <v>501</v>
      </c>
      <c r="B5" s="1">
        <v>68</v>
      </c>
      <c r="C5" s="1" t="s">
        <v>512</v>
      </c>
      <c r="D5" s="1" t="s">
        <v>503</v>
      </c>
      <c r="E5" s="1">
        <v>0.01</v>
      </c>
      <c r="F5" s="1" t="s">
        <v>513</v>
      </c>
      <c r="G5" s="1" t="s">
        <v>572</v>
      </c>
      <c r="H5" s="1" t="s">
        <v>514</v>
      </c>
      <c r="I5" s="1">
        <v>19.3308</v>
      </c>
      <c r="J5" s="1">
        <v>613</v>
      </c>
    </row>
    <row r="6" spans="1:10" s="1" customFormat="1" ht="11.25" x14ac:dyDescent="0.15">
      <c r="A6" s="1" t="s">
        <v>13</v>
      </c>
      <c r="B6" s="1" t="s">
        <v>515</v>
      </c>
      <c r="C6" s="1" t="s">
        <v>516</v>
      </c>
      <c r="D6" s="1" t="s">
        <v>198</v>
      </c>
      <c r="E6" s="1">
        <v>0.08</v>
      </c>
      <c r="F6" s="1" t="s">
        <v>517</v>
      </c>
      <c r="G6" s="1" t="s">
        <v>573</v>
      </c>
      <c r="H6" s="1" t="s">
        <v>518</v>
      </c>
      <c r="I6" s="1">
        <v>8.1897000000000002</v>
      </c>
      <c r="J6" s="1">
        <v>581</v>
      </c>
    </row>
    <row r="7" spans="1:10" s="1" customFormat="1" ht="11.25" x14ac:dyDescent="0.15">
      <c r="A7" s="1" t="s">
        <v>13</v>
      </c>
      <c r="B7" s="1" t="s">
        <v>519</v>
      </c>
      <c r="C7" s="1" t="s">
        <v>520</v>
      </c>
      <c r="D7" s="1" t="s">
        <v>198</v>
      </c>
      <c r="E7" s="1">
        <v>0.06</v>
      </c>
      <c r="F7" s="1" t="s">
        <v>521</v>
      </c>
      <c r="G7" s="1" t="s">
        <v>574</v>
      </c>
      <c r="H7" s="1" t="s">
        <v>522</v>
      </c>
      <c r="I7" s="1">
        <v>4.7797000000000001</v>
      </c>
      <c r="J7" s="1">
        <v>580</v>
      </c>
    </row>
    <row r="8" spans="1:10" s="1" customFormat="1" ht="11.25" x14ac:dyDescent="0.15">
      <c r="A8" s="1" t="s">
        <v>523</v>
      </c>
      <c r="B8" s="1" t="s">
        <v>524</v>
      </c>
      <c r="C8" s="1" t="s">
        <v>525</v>
      </c>
      <c r="D8" s="1" t="s">
        <v>199</v>
      </c>
      <c r="E8" s="1">
        <v>0.06</v>
      </c>
      <c r="F8" s="1" t="s">
        <v>526</v>
      </c>
      <c r="G8" s="1" t="s">
        <v>575</v>
      </c>
      <c r="H8" s="1" t="s">
        <v>527</v>
      </c>
      <c r="I8" s="1">
        <v>37.663499999999999</v>
      </c>
      <c r="J8" s="1">
        <v>617</v>
      </c>
    </row>
    <row r="9" spans="1:10" s="1" customFormat="1" ht="11.25" x14ac:dyDescent="0.15">
      <c r="A9" s="1" t="s">
        <v>523</v>
      </c>
      <c r="B9" s="1" t="s">
        <v>524</v>
      </c>
      <c r="C9" s="1" t="s">
        <v>525</v>
      </c>
      <c r="D9" s="1" t="s">
        <v>197</v>
      </c>
      <c r="E9" s="1">
        <v>0.06</v>
      </c>
      <c r="F9" s="1" t="s">
        <v>528</v>
      </c>
      <c r="G9" s="1" t="s">
        <v>576</v>
      </c>
      <c r="H9" s="1" t="s">
        <v>529</v>
      </c>
      <c r="I9" s="1">
        <v>8.8759999999999994</v>
      </c>
      <c r="J9" s="1">
        <v>568</v>
      </c>
    </row>
    <row r="10" spans="1:10" s="1" customFormat="1" ht="11.25" x14ac:dyDescent="0.15">
      <c r="A10" s="1" t="s">
        <v>530</v>
      </c>
      <c r="B10" s="1" t="s">
        <v>531</v>
      </c>
      <c r="C10" s="1" t="s">
        <v>532</v>
      </c>
      <c r="D10" s="1" t="s">
        <v>198</v>
      </c>
      <c r="E10" s="1">
        <v>0.08</v>
      </c>
      <c r="F10" s="1" t="s">
        <v>533</v>
      </c>
      <c r="G10" s="1" t="s">
        <v>577</v>
      </c>
      <c r="H10" s="1" t="s">
        <v>534</v>
      </c>
      <c r="I10" s="1">
        <v>31.671299999999999</v>
      </c>
      <c r="J10" s="1">
        <v>618</v>
      </c>
    </row>
    <row r="11" spans="1:10" s="1" customFormat="1" ht="11.25" x14ac:dyDescent="0.15">
      <c r="A11" s="1" t="s">
        <v>530</v>
      </c>
      <c r="B11" s="1" t="s">
        <v>535</v>
      </c>
      <c r="C11" s="1" t="s">
        <v>536</v>
      </c>
      <c r="D11" s="1" t="s">
        <v>198</v>
      </c>
      <c r="E11" s="1">
        <v>0.08</v>
      </c>
      <c r="F11" s="1" t="s">
        <v>537</v>
      </c>
      <c r="G11" s="1" t="s">
        <v>578</v>
      </c>
      <c r="H11" s="1" t="s">
        <v>538</v>
      </c>
      <c r="I11" s="1">
        <v>45.646500000000003</v>
      </c>
      <c r="J11" s="1">
        <v>595</v>
      </c>
    </row>
    <row r="12" spans="1:10" s="1" customFormat="1" ht="11.25" x14ac:dyDescent="0.15">
      <c r="A12" s="1" t="s">
        <v>530</v>
      </c>
      <c r="B12" s="1" t="s">
        <v>539</v>
      </c>
      <c r="C12" s="1" t="s">
        <v>540</v>
      </c>
      <c r="D12" s="1" t="s">
        <v>198</v>
      </c>
      <c r="E12" s="1">
        <v>0.08</v>
      </c>
      <c r="F12" s="1" t="s">
        <v>541</v>
      </c>
      <c r="G12" s="1" t="s">
        <v>579</v>
      </c>
      <c r="H12" s="1" t="s">
        <v>542</v>
      </c>
      <c r="I12" s="1">
        <v>20.994700000000002</v>
      </c>
      <c r="J12" s="1">
        <v>587</v>
      </c>
    </row>
    <row r="13" spans="1:10" s="1" customFormat="1" ht="11.25" x14ac:dyDescent="0.15">
      <c r="A13" s="1" t="s">
        <v>530</v>
      </c>
      <c r="B13" s="1" t="s">
        <v>543</v>
      </c>
      <c r="C13" s="1" t="s">
        <v>544</v>
      </c>
      <c r="D13" s="1" t="s">
        <v>198</v>
      </c>
      <c r="E13" s="1">
        <v>0.08</v>
      </c>
      <c r="F13" s="1" t="s">
        <v>545</v>
      </c>
      <c r="G13" s="1" t="s">
        <v>580</v>
      </c>
      <c r="H13" s="1" t="s">
        <v>546</v>
      </c>
      <c r="I13" s="1">
        <v>32.2455</v>
      </c>
      <c r="J13" s="1">
        <v>595</v>
      </c>
    </row>
    <row r="14" spans="1:10" s="1" customFormat="1" ht="11.25" x14ac:dyDescent="0.15">
      <c r="A14" s="1" t="s">
        <v>547</v>
      </c>
      <c r="B14" s="1" t="s">
        <v>548</v>
      </c>
      <c r="C14" s="1" t="s">
        <v>549</v>
      </c>
      <c r="D14" s="1" t="s">
        <v>198</v>
      </c>
      <c r="E14" s="1">
        <v>0.06</v>
      </c>
      <c r="F14" s="1" t="s">
        <v>550</v>
      </c>
      <c r="G14" s="1" t="s">
        <v>581</v>
      </c>
      <c r="H14" s="1" t="s">
        <v>551</v>
      </c>
      <c r="I14" s="1">
        <v>53.178600000000003</v>
      </c>
      <c r="J14" s="1">
        <v>585</v>
      </c>
    </row>
    <row r="15" spans="1:10" s="1" customFormat="1" ht="11.25" x14ac:dyDescent="0.15">
      <c r="A15" s="1" t="s">
        <v>547</v>
      </c>
      <c r="B15" s="1" t="s">
        <v>552</v>
      </c>
      <c r="C15" s="1" t="s">
        <v>553</v>
      </c>
      <c r="D15" s="1" t="s">
        <v>198</v>
      </c>
      <c r="E15" s="1">
        <v>0.06</v>
      </c>
      <c r="F15" s="1" t="s">
        <v>554</v>
      </c>
      <c r="G15" s="1" t="s">
        <v>582</v>
      </c>
      <c r="H15" s="1" t="s">
        <v>555</v>
      </c>
      <c r="I15" s="1">
        <v>6.8280000000000003</v>
      </c>
      <c r="J15" s="1">
        <v>587</v>
      </c>
    </row>
    <row r="16" spans="1:10" s="1" customFormat="1" ht="11.25" x14ac:dyDescent="0.15">
      <c r="A16" s="1" t="s">
        <v>556</v>
      </c>
      <c r="B16" s="1" t="s">
        <v>557</v>
      </c>
      <c r="C16" s="1" t="s">
        <v>558</v>
      </c>
      <c r="D16" s="1" t="s">
        <v>200</v>
      </c>
      <c r="E16" s="1">
        <v>0.06</v>
      </c>
      <c r="F16" s="1" t="s">
        <v>559</v>
      </c>
      <c r="G16" s="1" t="s">
        <v>583</v>
      </c>
      <c r="H16" s="1" t="s">
        <v>560</v>
      </c>
      <c r="I16" s="1">
        <v>39.263399999999997</v>
      </c>
      <c r="J16" s="1">
        <v>551</v>
      </c>
    </row>
    <row r="17" spans="1:10" s="1" customFormat="1" ht="11.25" x14ac:dyDescent="0.15">
      <c r="A17" s="1" t="s">
        <v>556</v>
      </c>
      <c r="B17" s="1" t="s">
        <v>561</v>
      </c>
      <c r="C17" s="1" t="s">
        <v>562</v>
      </c>
      <c r="D17" s="1" t="s">
        <v>200</v>
      </c>
      <c r="E17" s="1">
        <v>0.06</v>
      </c>
      <c r="F17" s="1" t="s">
        <v>563</v>
      </c>
      <c r="G17" s="1" t="s">
        <v>584</v>
      </c>
      <c r="H17" s="1" t="s">
        <v>564</v>
      </c>
      <c r="I17" s="1">
        <v>61.0779</v>
      </c>
      <c r="J17" s="1">
        <v>549</v>
      </c>
    </row>
    <row r="18" spans="1:10" s="1" customFormat="1" ht="11.25" x14ac:dyDescent="0.15">
      <c r="A18" s="1" t="s">
        <v>556</v>
      </c>
      <c r="B18" s="1" t="s">
        <v>565</v>
      </c>
      <c r="C18" s="1" t="s">
        <v>566</v>
      </c>
      <c r="D18" s="1" t="s">
        <v>200</v>
      </c>
      <c r="E18" s="1">
        <v>0.06</v>
      </c>
      <c r="F18" s="1" t="s">
        <v>567</v>
      </c>
      <c r="G18" s="1" t="s">
        <v>585</v>
      </c>
      <c r="H18" s="1" t="s">
        <v>568</v>
      </c>
      <c r="I18" s="1">
        <v>21.428699999999999</v>
      </c>
      <c r="J18" s="1">
        <v>543</v>
      </c>
    </row>
  </sheetData>
  <phoneticPr fontId="2" type="noConversion"/>
  <conditionalFormatting sqref="G1">
    <cfRule type="duplicateValues" dxfId="2" priority="1"/>
  </conditionalFormatting>
  <conditionalFormatting sqref="G1">
    <cfRule type="duplicateValues" dxfId="1" priority="2"/>
  </conditionalFormatting>
  <conditionalFormatting sqref="G2:G18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lane1</vt:lpstr>
      <vt:lpstr>lane2</vt:lpstr>
      <vt:lpstr>lane3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2019-01-30T06:00:04Z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