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/>
  <mc:AlternateContent xmlns:mc="http://schemas.openxmlformats.org/markup-compatibility/2006">
    <mc:Choice Requires="x15">
      <x15ac:absPath xmlns:x15ac="http://schemas.microsoft.com/office/spreadsheetml/2010/11/ac" url="Z:\实验部\测序组\测序\测序任务单\pooling任务单下达  20190219-001 MiseqPE300 - 外包测序-世和 - 副本\"/>
    </mc:Choice>
  </mc:AlternateContent>
  <xr:revisionPtr revIDLastSave="0" documentId="13_ncr:1_{981DFCD0-6B91-49EC-8576-CB780878C1C8}" xr6:coauthVersionLast="40" xr6:coauthVersionMax="40" xr10:uidLastSave="{00000000-0000-0000-0000-000000000000}"/>
  <bookViews>
    <workbookView xWindow="-120" yWindow="-120" windowWidth="29040" windowHeight="15840" xr2:uid="{00000000-000D-0000-FFFF-FFFF00000000}"/>
  </bookViews>
  <sheets>
    <sheet name="lane1" sheetId="7" r:id="rId1"/>
    <sheet name="lane2" sheetId="8" r:id="rId2"/>
    <sheet name="lane3" sheetId="9" r:id="rId3"/>
    <sheet name="lane4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81029"/>
</workbook>
</file>

<file path=xl/calcChain.xml><?xml version="1.0" encoding="utf-8"?>
<calcChain xmlns="http://schemas.openxmlformats.org/spreadsheetml/2006/main">
  <c r="I4" i="10" l="1"/>
  <c r="I3" i="10"/>
  <c r="I2" i="10"/>
  <c r="I3" i="9"/>
  <c r="I2" i="9"/>
  <c r="I3" i="8"/>
  <c r="I2" i="8"/>
  <c r="I4" i="7"/>
  <c r="I3" i="7"/>
  <c r="I2" i="7"/>
</calcChain>
</file>

<file path=xl/sharedStrings.xml><?xml version="1.0" encoding="utf-8"?>
<sst xmlns="http://schemas.openxmlformats.org/spreadsheetml/2006/main" count="110" uniqueCount="55">
  <si>
    <t>任务单名称</t>
  </si>
  <si>
    <t>样本名称</t>
  </si>
  <si>
    <t>核酸编号</t>
  </si>
  <si>
    <t>文库类型</t>
  </si>
  <si>
    <t>pooling数据量</t>
  </si>
  <si>
    <t>Index(诺唯赞）</t>
  </si>
  <si>
    <t>Index序列</t>
  </si>
  <si>
    <t>文库号</t>
  </si>
  <si>
    <t>DNA小片段</t>
  </si>
  <si>
    <t>浓度</t>
    <phoneticPr fontId="2" type="noConversion"/>
  </si>
  <si>
    <t>大小</t>
    <phoneticPr fontId="2" type="noConversion"/>
  </si>
  <si>
    <t>CAAGGAGC</t>
  </si>
  <si>
    <t>ATCATTCC</t>
  </si>
  <si>
    <t>KC190218-001KC190218-001  MAKF181015019-P1-32个细菌文库的扩增子建库测序技术服务（委托）合同-王洪涛10期3例-DNA小片段-run1测序</t>
    <phoneticPr fontId="2" type="noConversion"/>
  </si>
  <si>
    <t>ku1</t>
  </si>
  <si>
    <t>ku2</t>
  </si>
  <si>
    <t>ku3</t>
  </si>
  <si>
    <t>HF190121001</t>
  </si>
  <si>
    <t>HF190121002</t>
  </si>
  <si>
    <t>HF190121003</t>
  </si>
  <si>
    <t>VD01</t>
  </si>
  <si>
    <t>AACGTGAT</t>
  </si>
  <si>
    <t>VD08</t>
  </si>
  <si>
    <t>CATCAAGT</t>
  </si>
  <si>
    <t>VD31</t>
  </si>
  <si>
    <t>GACTAGTA</t>
  </si>
  <si>
    <t>HFDNA190122A0098-01</t>
  </si>
  <si>
    <t>HFDNA190122A0099-08</t>
  </si>
  <si>
    <t>HFDNA190122A0100-31</t>
  </si>
  <si>
    <t>ku4</t>
  </si>
  <si>
    <t>ku5</t>
  </si>
  <si>
    <t>HF190121004</t>
  </si>
  <si>
    <t>HF190121005</t>
  </si>
  <si>
    <t>VD54</t>
  </si>
  <si>
    <t>GGAGAACA</t>
  </si>
  <si>
    <t>HFDNA190122A0101-54</t>
  </si>
  <si>
    <t>VD67</t>
  </si>
  <si>
    <t>TGGTGGTA</t>
  </si>
  <si>
    <t>HFDNA190122A0102-67</t>
  </si>
  <si>
    <t>KC190218-001  MAKF181015019-P1-32个细菌文库的扩增子建库测序技术服务（委托）合同-王洪涛11期2例-DNA小片段-run2测序</t>
  </si>
  <si>
    <t>KC190218-001  MAKF181015019-P1-32个细菌文库的扩增子建库测序技术服务（委托）合同-王洪涛12期2例-DNA小片段-run3测序</t>
    <phoneticPr fontId="2" type="noConversion"/>
  </si>
  <si>
    <t>ku6</t>
  </si>
  <si>
    <t>HF190121006</t>
  </si>
  <si>
    <t>VD68</t>
  </si>
  <si>
    <t>TTCACGCA</t>
  </si>
  <si>
    <t>HFDNA190122A0103-68</t>
  </si>
  <si>
    <t>ku7</t>
  </si>
  <si>
    <t>ku8</t>
  </si>
  <si>
    <t>HF190121007</t>
  </si>
  <si>
    <t>HF190121008</t>
  </si>
  <si>
    <t>VD81</t>
  </si>
  <si>
    <t>VD83</t>
  </si>
  <si>
    <t>HFDNA190122A0104-81</t>
  </si>
  <si>
    <t>HFDNA190122A0105-83</t>
  </si>
  <si>
    <t>KC190218-001  MAKF181015019-P1-32个细菌文库的扩增子建库测序技术服务（委托）合同-王洪涛14期3例-DNA小片段-run4测序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</si>
</sst>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6" x14ac:knownFonts="1">
    <font>
      <sz val="11"/>
      <color theme="1"/>
      <name val="宋体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Times New Roman"/>
      <family val="1"/>
    </font>
    <font>
      <sz val="10"/>
      <name val="宋体"/>
      <family val="3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1-KC190218-001%20%20MAKF181015019-P1-32&#20010;&#32454;&#33740;&#25991;&#24211;&#30340;&#25193;&#22686;&#23376;&#24314;&#24211;&#27979;&#24207;&#25216;&#26415;&#26381;&#21153;&#65288;&#22996;&#25176;&#65289;&#21512;&#21516;-&#29579;&#27946;&#28059;10&#26399;3&#20363;-DNA&#23567;&#29255;&#27573;-run1&#27979;&#2420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2-KC190218-001%20%20MAKF181015019-P1-32&#20010;&#32454;&#33740;&#25991;&#24211;&#30340;&#25193;&#22686;&#23376;&#24314;&#24211;&#27979;&#24207;&#25216;&#26415;&#26381;&#21153;&#65288;&#22996;&#25176;&#65289;&#21512;&#21516;-&#29579;&#27946;&#28059;11&#26399;2&#20363;-DNA&#23567;&#29255;&#27573;-run2&#27979;&#2420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03-KC190218-001%20%20MAKF181015019-P1-32&#20010;&#32454;&#33740;&#25991;&#24211;&#30340;&#25193;&#22686;&#23376;&#24314;&#24211;&#27979;&#24207;&#25216;&#26415;&#26381;&#21153;&#65288;&#22996;&#25176;&#65289;&#21512;&#21516;-&#29579;&#27946;&#28059;12&#26399;2&#20363;-DNA&#23567;&#29255;&#27573;-run3&#27979;&#2420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4-KC190218-001%20%20MAKF181015019-P1-32&#20010;&#32454;&#33740;&#25991;&#24211;&#30340;&#25193;&#22686;&#23376;&#24314;&#24211;&#27979;&#24207;&#25216;&#26415;&#26381;&#21153;&#65288;&#22996;&#25176;&#65289;&#21512;&#21516;-&#29579;&#27946;&#28059;14&#26399;3&#20363;-DNA&#23567;&#29255;&#27573;-run4&#27979;&#24207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23454;&#39564;&#37096;/&#27979;&#24207;&#32452;/&#25991;&#24211;&#20132;&#25509;&#34920;/MAG-DC-EPD-SQT-R03-017%20%20PEI&#25991;&#24211;&#26816;&#27979;&#32467;&#26524;&#30331;&#35760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任务单模板"/>
      <sheetName val="建库类型+测序策略"/>
      <sheetName val="引物信息"/>
      <sheetName val="Assay信息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任务单模板"/>
      <sheetName val="建库类型+测序策略"/>
      <sheetName val="引物信息"/>
      <sheetName val="Assay信息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任务单模板"/>
      <sheetName val="建库类型+测序策略"/>
      <sheetName val="引物信息"/>
      <sheetName val="Assay信息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任务单模板"/>
      <sheetName val="建库类型+测序策略"/>
      <sheetName val="引物信息"/>
      <sheetName val="Assay信息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3"/>
    </sheetNames>
    <sheetDataSet>
      <sheetData sheetId="0">
        <row r="2676">
          <cell r="L2676" t="str">
            <v>HFRNA190122A0096-78</v>
          </cell>
          <cell r="M2676">
            <v>405</v>
          </cell>
          <cell r="N2676">
            <v>18.5</v>
          </cell>
          <cell r="O2676">
            <v>69.2</v>
          </cell>
          <cell r="P2676">
            <v>20</v>
          </cell>
          <cell r="Q2676" t="str">
            <v>合格</v>
          </cell>
          <cell r="R2676" t="str">
            <v>A</v>
          </cell>
          <cell r="S2676" t="str">
            <v>4200-HS</v>
          </cell>
          <cell r="T2676" t="str">
            <v>王璇</v>
          </cell>
          <cell r="U2676" t="str">
            <v>王璇、涂宜帅</v>
          </cell>
          <cell r="W2676" t="str">
            <v>L0060-E12</v>
          </cell>
          <cell r="AB2676">
            <v>2.3911364125837884</v>
          </cell>
          <cell r="AC2676">
            <v>165.46663975079815</v>
          </cell>
          <cell r="AD2676">
            <v>20190126</v>
          </cell>
          <cell r="AE2676" t="str">
            <v>张慧</v>
          </cell>
          <cell r="AH2676">
            <v>178.55577949679127</v>
          </cell>
          <cell r="AI2676" t="str">
            <v>20190126-ZH-001</v>
          </cell>
          <cell r="AJ2676" t="str">
            <v>张慧</v>
          </cell>
          <cell r="AK2676">
            <v>219.34462644318899</v>
          </cell>
          <cell r="AL2676" t="str">
            <v>20190126-ZH-002</v>
          </cell>
          <cell r="AM2676" t="str">
            <v>张慧</v>
          </cell>
          <cell r="AN2676">
            <v>152.37750000480503</v>
          </cell>
          <cell r="AO2676" t="str">
            <v>20190126-ZH-003</v>
          </cell>
          <cell r="AP2676" t="str">
            <v>张慧</v>
          </cell>
        </row>
        <row r="2677">
          <cell r="L2677" t="str">
            <v>HFRNA190122A0097-79</v>
          </cell>
          <cell r="M2677">
            <v>400</v>
          </cell>
          <cell r="N2677">
            <v>15.6</v>
          </cell>
          <cell r="O2677">
            <v>58.9</v>
          </cell>
          <cell r="P2677">
            <v>20</v>
          </cell>
          <cell r="Q2677" t="str">
            <v>合格</v>
          </cell>
          <cell r="R2677" t="str">
            <v>A</v>
          </cell>
          <cell r="S2677" t="str">
            <v>4200-HS</v>
          </cell>
          <cell r="T2677" t="str">
            <v>王璇</v>
          </cell>
          <cell r="U2677" t="str">
            <v>王璇、涂宜帅</v>
          </cell>
          <cell r="W2677" t="str">
            <v>L0060-F01</v>
          </cell>
          <cell r="AB2677">
            <v>1.9502761129161303</v>
          </cell>
          <cell r="AC2677">
            <v>114.87126305076008</v>
          </cell>
          <cell r="AD2677">
            <v>20190126</v>
          </cell>
          <cell r="AE2677" t="str">
            <v>张慧</v>
          </cell>
          <cell r="AH2677">
            <v>124.88706816238793</v>
          </cell>
          <cell r="AI2677" t="str">
            <v>20190126-ZH-001</v>
          </cell>
          <cell r="AJ2677" t="str">
            <v>张慧</v>
          </cell>
          <cell r="AK2677">
            <v>140.51124929637467</v>
          </cell>
          <cell r="AL2677" t="str">
            <v>20190126-ZH-002</v>
          </cell>
          <cell r="AM2677" t="str">
            <v>张慧</v>
          </cell>
          <cell r="AN2677">
            <v>104.85545793913222</v>
          </cell>
          <cell r="AO2677" t="str">
            <v>20190126-ZH-003</v>
          </cell>
          <cell r="AP2677" t="str">
            <v>张慧</v>
          </cell>
        </row>
        <row r="2678">
          <cell r="L2678" t="str">
            <v>HFRNA190122A0098-80</v>
          </cell>
          <cell r="M2678">
            <v>401</v>
          </cell>
          <cell r="N2678">
            <v>20.9</v>
          </cell>
          <cell r="O2678">
            <v>78.3</v>
          </cell>
          <cell r="P2678">
            <v>20</v>
          </cell>
          <cell r="Q2678" t="str">
            <v>合格</v>
          </cell>
          <cell r="R2678" t="str">
            <v>A</v>
          </cell>
          <cell r="S2678" t="str">
            <v>4200-HS</v>
          </cell>
          <cell r="T2678" t="str">
            <v>王璇</v>
          </cell>
          <cell r="U2678" t="str">
            <v>王璇、涂宜帅</v>
          </cell>
          <cell r="W2678" t="str">
            <v>L0060-F02</v>
          </cell>
          <cell r="AB2678">
            <v>2.6310821894314795</v>
          </cell>
          <cell r="AC2678">
            <v>206.01373543248485</v>
          </cell>
          <cell r="AD2678">
            <v>20190126</v>
          </cell>
          <cell r="AE2678" t="str">
            <v>张慧</v>
          </cell>
          <cell r="AH2678">
            <v>202.90159983453569</v>
          </cell>
          <cell r="AI2678" t="str">
            <v>20190126-ZH-001</v>
          </cell>
          <cell r="AJ2678" t="str">
            <v>张慧</v>
          </cell>
          <cell r="AK2678">
            <v>209.12587103043401</v>
          </cell>
          <cell r="AL2678" t="str">
            <v>20190126-ZH-002</v>
          </cell>
          <cell r="AM2678" t="str">
            <v>张慧</v>
          </cell>
        </row>
        <row r="2679">
          <cell r="L2679" t="str">
            <v>HFRNA190124A0099-81</v>
          </cell>
          <cell r="M2679">
            <v>393</v>
          </cell>
          <cell r="N2679">
            <v>11.2</v>
          </cell>
          <cell r="O2679">
            <v>42.8</v>
          </cell>
          <cell r="P2679">
            <v>20</v>
          </cell>
          <cell r="Q2679" t="str">
            <v>合格</v>
          </cell>
          <cell r="R2679" t="str">
            <v>A</v>
          </cell>
          <cell r="S2679" t="str">
            <v>4200-HS</v>
          </cell>
          <cell r="T2679" t="str">
            <v>王璇</v>
          </cell>
          <cell r="U2679" t="str">
            <v>王璇、涂宜帅</v>
          </cell>
          <cell r="W2679" t="str">
            <v>L0060-F03</v>
          </cell>
          <cell r="AB2679">
            <v>2.1974834908937111</v>
          </cell>
          <cell r="AC2679">
            <v>94.052293410250826</v>
          </cell>
          <cell r="AD2679">
            <v>20190126</v>
          </cell>
          <cell r="AE2679" t="str">
            <v>张慧</v>
          </cell>
          <cell r="AH2679">
            <v>98.477203118141432</v>
          </cell>
          <cell r="AI2679" t="str">
            <v>20190126-ZH-001</v>
          </cell>
          <cell r="AJ2679" t="str">
            <v>张慧</v>
          </cell>
          <cell r="AK2679">
            <v>89.62738370236022</v>
          </cell>
          <cell r="AL2679" t="str">
            <v>20190126-ZH-002</v>
          </cell>
          <cell r="AM2679" t="str">
            <v>张慧</v>
          </cell>
        </row>
        <row r="2680">
          <cell r="L2680" t="str">
            <v>HFRNA190124A0100-89</v>
          </cell>
          <cell r="M2680">
            <v>393</v>
          </cell>
          <cell r="N2680">
            <v>8.86</v>
          </cell>
          <cell r="O2680">
            <v>34.9</v>
          </cell>
          <cell r="P2680">
            <v>20</v>
          </cell>
          <cell r="Q2680" t="str">
            <v>合格</v>
          </cell>
          <cell r="R2680" t="str">
            <v>A</v>
          </cell>
          <cell r="S2680" t="str">
            <v>4200-HS</v>
          </cell>
          <cell r="T2680" t="str">
            <v>王璇</v>
          </cell>
          <cell r="U2680" t="str">
            <v>王璇、涂宜帅</v>
          </cell>
          <cell r="W2680" t="str">
            <v>L0060-F04</v>
          </cell>
          <cell r="AB2680">
            <v>1.8537034487522346</v>
          </cell>
          <cell r="AC2680">
            <v>64.694250361452987</v>
          </cell>
          <cell r="AD2680">
            <v>20190126</v>
          </cell>
          <cell r="AE2680" t="str">
            <v>张慧</v>
          </cell>
          <cell r="AH2680">
            <v>66.463182299904602</v>
          </cell>
          <cell r="AI2680" t="str">
            <v>20190126-ZH-001</v>
          </cell>
          <cell r="AJ2680" t="str">
            <v>张慧</v>
          </cell>
          <cell r="AK2680">
            <v>82.999414352829177</v>
          </cell>
          <cell r="AL2680" t="str">
            <v>20190126-ZH-002</v>
          </cell>
          <cell r="AM2680" t="str">
            <v>张慧</v>
          </cell>
          <cell r="AN2680">
            <v>62.925318423001357</v>
          </cell>
          <cell r="AO2680" t="str">
            <v>20190126-ZH-003</v>
          </cell>
          <cell r="AP2680" t="str">
            <v>张慧</v>
          </cell>
        </row>
        <row r="2681">
          <cell r="L2681" t="str">
            <v>HFRNA190124A0101-90</v>
          </cell>
          <cell r="M2681">
            <v>387</v>
          </cell>
          <cell r="N2681">
            <v>6.64</v>
          </cell>
          <cell r="O2681">
            <v>25.9</v>
          </cell>
          <cell r="P2681">
            <v>20</v>
          </cell>
          <cell r="Q2681" t="str">
            <v>合格</v>
          </cell>
          <cell r="R2681" t="str">
            <v>A</v>
          </cell>
          <cell r="S2681" t="str">
            <v>4200-HS</v>
          </cell>
          <cell r="T2681" t="str">
            <v>王璇</v>
          </cell>
          <cell r="U2681" t="str">
            <v>王璇、涂宜帅</v>
          </cell>
          <cell r="W2681" t="str">
            <v>L0060-F05</v>
          </cell>
          <cell r="AB2681">
            <v>1.9997206326135257</v>
          </cell>
          <cell r="AC2681">
            <v>51.792764384690315</v>
          </cell>
          <cell r="AD2681">
            <v>20190126</v>
          </cell>
          <cell r="AE2681" t="str">
            <v>张慧</v>
          </cell>
          <cell r="AH2681">
            <v>50.985949776337705</v>
          </cell>
          <cell r="AI2681" t="str">
            <v>20190126-ZH-001</v>
          </cell>
          <cell r="AJ2681" t="str">
            <v>张慧</v>
          </cell>
          <cell r="AK2681">
            <v>63.508396591834781</v>
          </cell>
          <cell r="AL2681" t="str">
            <v>20190126-ZH-002</v>
          </cell>
          <cell r="AM2681" t="str">
            <v>张慧</v>
          </cell>
          <cell r="AN2681">
            <v>40.883946785898459</v>
          </cell>
          <cell r="AO2681" t="str">
            <v>20190126-ZH-003</v>
          </cell>
          <cell r="AP2681" t="str">
            <v>张慧</v>
          </cell>
        </row>
        <row r="2682">
          <cell r="L2682" t="str">
            <v>HFRNA190124A0102-91</v>
          </cell>
          <cell r="M2682">
            <v>376</v>
          </cell>
          <cell r="N2682">
            <v>7.3</v>
          </cell>
          <cell r="O2682">
            <v>28.9</v>
          </cell>
          <cell r="P2682">
            <v>20</v>
          </cell>
          <cell r="Q2682" t="str">
            <v>合格</v>
          </cell>
          <cell r="R2682" t="str">
            <v>B</v>
          </cell>
          <cell r="S2682" t="str">
            <v>4200-HS</v>
          </cell>
          <cell r="T2682" t="str">
            <v>王璇</v>
          </cell>
          <cell r="U2682" t="str">
            <v>王璇、涂宜帅</v>
          </cell>
          <cell r="W2682" t="str">
            <v>L0060-F06</v>
          </cell>
          <cell r="AB2682">
            <v>2.0222141853166011</v>
          </cell>
          <cell r="AC2682">
            <v>58.441989955649774</v>
          </cell>
          <cell r="AD2682">
            <v>20190126</v>
          </cell>
          <cell r="AE2682" t="str">
            <v>张慧</v>
          </cell>
          <cell r="AH2682">
            <v>59.312806347139166</v>
          </cell>
          <cell r="AI2682" t="str">
            <v>20190126-ZH-001</v>
          </cell>
          <cell r="AJ2682" t="str">
            <v>张慧</v>
          </cell>
          <cell r="AK2682">
            <v>57.571173564160389</v>
          </cell>
          <cell r="AL2682" t="str">
            <v>20190126-ZH-002</v>
          </cell>
          <cell r="AM2682" t="str">
            <v>张慧</v>
          </cell>
        </row>
        <row r="2683">
          <cell r="L2683" t="str">
            <v>HFDNA190122A0095-86</v>
          </cell>
          <cell r="M2683">
            <v>480</v>
          </cell>
          <cell r="N2683">
            <v>12</v>
          </cell>
          <cell r="O2683">
            <v>38.4</v>
          </cell>
          <cell r="P2683">
            <v>18</v>
          </cell>
          <cell r="Q2683" t="str">
            <v>合格</v>
          </cell>
          <cell r="S2683" t="str">
            <v>4200 HS D1000</v>
          </cell>
          <cell r="T2683" t="str">
            <v>周强</v>
          </cell>
          <cell r="U2683" t="str">
            <v>周强</v>
          </cell>
          <cell r="V2683" t="str">
            <v>人重</v>
          </cell>
          <cell r="W2683" t="str">
            <v>L0060-D05</v>
          </cell>
          <cell r="X2683">
            <v>1</v>
          </cell>
          <cell r="Y2683" t="str">
            <v>HSD1000 - 2019-01-25 - 15.24.25</v>
          </cell>
          <cell r="AB2683">
            <v>4.1542336422744546</v>
          </cell>
          <cell r="AC2683">
            <v>159.52257186333904</v>
          </cell>
          <cell r="AD2683">
            <v>20190126</v>
          </cell>
          <cell r="AE2683" t="str">
            <v>张慧</v>
          </cell>
          <cell r="AH2683">
            <v>165.51734186145748</v>
          </cell>
          <cell r="AI2683" t="str">
            <v>20190126-ZH-001</v>
          </cell>
          <cell r="AJ2683" t="str">
            <v>张慧</v>
          </cell>
          <cell r="AK2683">
            <v>153.5278018652206</v>
          </cell>
          <cell r="AL2683" t="str">
            <v>20190126-ZH-002</v>
          </cell>
          <cell r="AM2683" t="str">
            <v>张慧</v>
          </cell>
        </row>
        <row r="2684">
          <cell r="L2684" t="str">
            <v>HFDNA190122A0096-87</v>
          </cell>
          <cell r="M2684">
            <v>484</v>
          </cell>
          <cell r="N2684">
            <v>26.7</v>
          </cell>
          <cell r="O2684">
            <v>84.9</v>
          </cell>
          <cell r="P2684">
            <v>18</v>
          </cell>
          <cell r="Q2684" t="str">
            <v>合格</v>
          </cell>
          <cell r="S2684" t="str">
            <v>4200 HS D1000</v>
          </cell>
          <cell r="T2684" t="str">
            <v>周强</v>
          </cell>
          <cell r="U2684" t="str">
            <v>周强</v>
          </cell>
          <cell r="V2684" t="str">
            <v>无目的条带</v>
          </cell>
          <cell r="W2684" t="str">
            <v>L0060-D06</v>
          </cell>
          <cell r="X2684">
            <v>1</v>
          </cell>
          <cell r="Y2684" t="str">
            <v>HSD1000 - 2019-01-25 - 15.24.25</v>
          </cell>
          <cell r="AB2684">
            <v>4.6674492285182163</v>
          </cell>
          <cell r="AC2684">
            <v>396.2664395011966</v>
          </cell>
          <cell r="AD2684">
            <v>20190126</v>
          </cell>
          <cell r="AE2684" t="str">
            <v>张慧</v>
          </cell>
          <cell r="AH2684">
            <v>390.94922998391024</v>
          </cell>
          <cell r="AI2684" t="str">
            <v>20190126-ZH-001</v>
          </cell>
          <cell r="AJ2684" t="str">
            <v>张慧</v>
          </cell>
          <cell r="AK2684">
            <v>462.18939922888234</v>
          </cell>
          <cell r="AL2684" t="str">
            <v>20190126-ZH-002</v>
          </cell>
          <cell r="AM2684" t="str">
            <v>张慧</v>
          </cell>
          <cell r="AN2684">
            <v>401.58364901848302</v>
          </cell>
          <cell r="AO2684" t="str">
            <v>20190126-ZH-003</v>
          </cell>
          <cell r="AP2684" t="str">
            <v>张慧</v>
          </cell>
        </row>
        <row r="2685">
          <cell r="L2685" t="str">
            <v>HFDNA190122A0097-88</v>
          </cell>
          <cell r="M2685" t="str">
            <v>无目的峰</v>
          </cell>
          <cell r="N2685">
            <v>0</v>
          </cell>
          <cell r="O2685">
            <v>0</v>
          </cell>
          <cell r="P2685">
            <v>18</v>
          </cell>
          <cell r="Q2685" t="str">
            <v>不合格</v>
          </cell>
          <cell r="R2685" t="str">
            <v>样本总量不足，粘稠发绿</v>
          </cell>
          <cell r="S2685" t="str">
            <v>4200 HS D1000</v>
          </cell>
          <cell r="T2685" t="str">
            <v>周强</v>
          </cell>
          <cell r="U2685" t="str">
            <v>周强</v>
          </cell>
          <cell r="V2685" t="str">
            <v>无目的条带</v>
          </cell>
          <cell r="W2685" t="str">
            <v>L0060-D07</v>
          </cell>
          <cell r="X2685">
            <v>1</v>
          </cell>
          <cell r="Y2685" t="str">
            <v>HSD1000 - 2019-01-25 - 15.24.25</v>
          </cell>
          <cell r="AB2685" t="e">
            <v>#DIV/0!</v>
          </cell>
          <cell r="AC2685">
            <v>0.21217181814829977</v>
          </cell>
          <cell r="AD2685">
            <v>20190126</v>
          </cell>
          <cell r="AE2685" t="str">
            <v>张慧</v>
          </cell>
          <cell r="AH2685">
            <v>0.20498487763627235</v>
          </cell>
          <cell r="AI2685" t="str">
            <v>20190126-ZH-001</v>
          </cell>
          <cell r="AJ2685" t="str">
            <v>张慧</v>
          </cell>
          <cell r="AK2685">
            <v>0.23537093372052786</v>
          </cell>
          <cell r="AL2685" t="str">
            <v>20190126-ZH-002</v>
          </cell>
          <cell r="AM2685" t="str">
            <v>张慧</v>
          </cell>
          <cell r="AN2685">
            <v>0.21935875866032717</v>
          </cell>
          <cell r="AO2685" t="str">
            <v>20190126-ZH-003</v>
          </cell>
          <cell r="AP2685" t="str">
            <v>张慧</v>
          </cell>
        </row>
        <row r="2686">
          <cell r="L2686" t="str">
            <v>HFDNA190122A0098-01</v>
          </cell>
          <cell r="M2686" t="str">
            <v>472/531/722</v>
          </cell>
          <cell r="N2686" t="str">
            <v>1.46/12.2/1.11</v>
          </cell>
          <cell r="O2686">
            <v>42.41</v>
          </cell>
          <cell r="P2686">
            <v>26</v>
          </cell>
          <cell r="Q2686" t="str">
            <v>不合格</v>
          </cell>
          <cell r="R2686" t="str">
            <v>多峰，分别占比9.89%、82.61%、7.5%</v>
          </cell>
          <cell r="S2686" t="str">
            <v>4200 HS D1000</v>
          </cell>
          <cell r="T2686" t="str">
            <v>周强</v>
          </cell>
          <cell r="U2686" t="str">
            <v>周强</v>
          </cell>
          <cell r="W2686" t="str">
            <v>L0060-D08</v>
          </cell>
          <cell r="X2686">
            <v>1</v>
          </cell>
          <cell r="Y2686" t="str">
            <v>HSD1000 - 2019-01-25 - 15.24.25</v>
          </cell>
          <cell r="AB2686">
            <v>5.1400235806126524</v>
          </cell>
          <cell r="AC2686">
            <v>217.98840005378258</v>
          </cell>
          <cell r="AD2686">
            <v>20190126</v>
          </cell>
          <cell r="AE2686" t="str">
            <v>张慧</v>
          </cell>
          <cell r="AH2686">
            <v>229.20165474312833</v>
          </cell>
          <cell r="AI2686" t="str">
            <v>20190126-ZH-001</v>
          </cell>
          <cell r="AJ2686" t="str">
            <v>张慧</v>
          </cell>
          <cell r="AK2686">
            <v>206.77514536443687</v>
          </cell>
          <cell r="AL2686" t="str">
            <v>20190126-ZH-002</v>
          </cell>
          <cell r="AM2686" t="str">
            <v>张慧</v>
          </cell>
        </row>
        <row r="2687">
          <cell r="L2687" t="str">
            <v>HFDNA190122A0099-08</v>
          </cell>
          <cell r="M2687" t="str">
            <v>469/528/694</v>
          </cell>
          <cell r="N2687" t="str">
            <v>0.956/8.18/0.703</v>
          </cell>
          <cell r="O2687">
            <v>28.5</v>
          </cell>
          <cell r="P2687">
            <v>50</v>
          </cell>
          <cell r="Q2687" t="str">
            <v>不合格</v>
          </cell>
          <cell r="R2687" t="str">
            <v>多峰，分别占比9.72%、83.13%、7.15%</v>
          </cell>
          <cell r="S2687" t="str">
            <v>4200 HS D1000</v>
          </cell>
          <cell r="T2687" t="str">
            <v>周强</v>
          </cell>
          <cell r="U2687" t="str">
            <v>周强</v>
          </cell>
          <cell r="W2687" t="str">
            <v>L0060-D09</v>
          </cell>
          <cell r="X2687">
            <v>1</v>
          </cell>
          <cell r="Y2687" t="str">
            <v>HSD1000 - 2019-01-25 - 15.56.29</v>
          </cell>
          <cell r="AB2687">
            <v>4.426017337456063</v>
          </cell>
          <cell r="AC2687">
            <v>126.14149411749779</v>
          </cell>
          <cell r="AD2687">
            <v>20190126</v>
          </cell>
          <cell r="AE2687" t="str">
            <v>张慧</v>
          </cell>
          <cell r="AH2687">
            <v>126.74983105527285</v>
          </cell>
          <cell r="AI2687" t="str">
            <v>20190126-ZH-001</v>
          </cell>
          <cell r="AJ2687" t="str">
            <v>张慧</v>
          </cell>
          <cell r="AK2687">
            <v>125.53315717972271</v>
          </cell>
          <cell r="AL2687" t="str">
            <v>20190126-ZH-002</v>
          </cell>
          <cell r="AM2687" t="str">
            <v>张慧</v>
          </cell>
        </row>
        <row r="2688">
          <cell r="L2688" t="str">
            <v>HFDNA190122A0100-31</v>
          </cell>
          <cell r="M2688" t="str">
            <v>471/529/720</v>
          </cell>
          <cell r="N2688" t="str">
            <v>2.06/16.6/0.547</v>
          </cell>
          <cell r="O2688">
            <v>56</v>
          </cell>
          <cell r="P2688">
            <v>26</v>
          </cell>
          <cell r="Q2688" t="str">
            <v>不合格</v>
          </cell>
          <cell r="R2688" t="str">
            <v>多峰，分别占比10.75%、86.39%、2.85%</v>
          </cell>
          <cell r="S2688" t="str">
            <v>4200 HS D1000</v>
          </cell>
          <cell r="T2688" t="str">
            <v>周强</v>
          </cell>
          <cell r="U2688" t="str">
            <v>周强</v>
          </cell>
          <cell r="W2688" t="str">
            <v>L0060-D10</v>
          </cell>
          <cell r="X2688">
            <v>1</v>
          </cell>
          <cell r="Y2688" t="str">
            <v>HSD1000 - 2019-01-25 - 15.24.25</v>
          </cell>
          <cell r="AB2688">
            <v>3.0606300545936045</v>
          </cell>
          <cell r="AC2688">
            <v>171.39528305724184</v>
          </cell>
          <cell r="AD2688">
            <v>20190126</v>
          </cell>
          <cell r="AE2688" t="str">
            <v>张慧</v>
          </cell>
          <cell r="AH2688">
            <v>180.73763684105813</v>
          </cell>
          <cell r="AI2688" t="str">
            <v>20190126-ZH-001</v>
          </cell>
          <cell r="AJ2688" t="str">
            <v>张慧</v>
          </cell>
          <cell r="AK2688">
            <v>248.77940281604751</v>
          </cell>
          <cell r="AL2688" t="str">
            <v>20190126-ZH-002</v>
          </cell>
          <cell r="AM2688" t="str">
            <v>张慧</v>
          </cell>
          <cell r="AN2688">
            <v>162.05292927342555</v>
          </cell>
          <cell r="AO2688" t="str">
            <v>20190126-ZH-003</v>
          </cell>
          <cell r="AP2688" t="str">
            <v>张慧</v>
          </cell>
        </row>
        <row r="2689">
          <cell r="L2689" t="str">
            <v>HFDNA190122A0101-54</v>
          </cell>
          <cell r="M2689" t="str">
            <v>465/524</v>
          </cell>
          <cell r="N2689" t="str">
            <v>1.75/13.9</v>
          </cell>
          <cell r="O2689">
            <v>46.78</v>
          </cell>
          <cell r="P2689">
            <v>26</v>
          </cell>
          <cell r="Q2689" t="str">
            <v>不合格</v>
          </cell>
          <cell r="R2689" t="str">
            <v>多峰，分别占比11.32%、88.68%</v>
          </cell>
          <cell r="S2689" t="str">
            <v>4200 HS D1000</v>
          </cell>
          <cell r="T2689" t="str">
            <v>周强</v>
          </cell>
          <cell r="U2689" t="str">
            <v>周强</v>
          </cell>
          <cell r="W2689" t="str">
            <v>L0060-D11</v>
          </cell>
          <cell r="X2689">
            <v>1</v>
          </cell>
          <cell r="Y2689" t="str">
            <v>HSD1000 - 2019-01-25 - 15.24.25</v>
          </cell>
          <cell r="AB2689">
            <v>3.5665656726248942</v>
          </cell>
          <cell r="AC2689">
            <v>166.84394216539255</v>
          </cell>
          <cell r="AD2689">
            <v>20190126</v>
          </cell>
          <cell r="AE2689" t="str">
            <v>张慧</v>
          </cell>
          <cell r="AH2689">
            <v>160.77260991950959</v>
          </cell>
          <cell r="AI2689" t="str">
            <v>20190126-ZH-001</v>
          </cell>
          <cell r="AJ2689" t="str">
            <v>张慧</v>
          </cell>
          <cell r="AK2689">
            <v>172.9152744112755</v>
          </cell>
          <cell r="AL2689" t="str">
            <v>20190126-ZH-002</v>
          </cell>
          <cell r="AM2689" t="str">
            <v>张慧</v>
          </cell>
        </row>
        <row r="2690">
          <cell r="L2690" t="str">
            <v>HFDNA190122A0102-67</v>
          </cell>
          <cell r="M2690" t="str">
            <v>469/529/728</v>
          </cell>
          <cell r="N2690" t="str">
            <v>1.63/14.7/1.13</v>
          </cell>
          <cell r="O2690">
            <v>50.440000000000005</v>
          </cell>
          <cell r="P2690">
            <v>26</v>
          </cell>
          <cell r="Q2690" t="str">
            <v>不合格</v>
          </cell>
          <cell r="R2690" t="str">
            <v>多峰，分别占比9.34%、84.2%、6.46%</v>
          </cell>
          <cell r="S2690" t="str">
            <v>4200 HS D1000</v>
          </cell>
          <cell r="T2690" t="str">
            <v>周强</v>
          </cell>
          <cell r="U2690" t="str">
            <v>周强</v>
          </cell>
          <cell r="W2690" t="str">
            <v>L0060-D12</v>
          </cell>
          <cell r="X2690">
            <v>1</v>
          </cell>
          <cell r="Y2690" t="str">
            <v>HSD1000 - 2019-01-25 - 15.24.25</v>
          </cell>
          <cell r="AB2690">
            <v>5.6737860267242635</v>
          </cell>
          <cell r="AC2690">
            <v>286.18576718797186</v>
          </cell>
          <cell r="AD2690">
            <v>20190126</v>
          </cell>
          <cell r="AE2690" t="str">
            <v>张慧</v>
          </cell>
          <cell r="AH2690">
            <v>289.31536223574454</v>
          </cell>
          <cell r="AI2690" t="str">
            <v>20190126-ZH-001</v>
          </cell>
          <cell r="AJ2690" t="str">
            <v>张慧</v>
          </cell>
          <cell r="AK2690">
            <v>283.05617214019918</v>
          </cell>
          <cell r="AL2690" t="str">
            <v>20190126-ZH-002</v>
          </cell>
          <cell r="AM2690" t="str">
            <v>张慧</v>
          </cell>
        </row>
        <row r="2691">
          <cell r="L2691" t="str">
            <v>HFDNA190122A0103-68</v>
          </cell>
          <cell r="M2691" t="str">
            <v>469/528/721</v>
          </cell>
          <cell r="N2691" t="str">
            <v>1.72/14.7/0.849</v>
          </cell>
          <cell r="O2691">
            <v>50.150000000000006</v>
          </cell>
          <cell r="P2691">
            <v>26</v>
          </cell>
          <cell r="Q2691" t="str">
            <v>不合格</v>
          </cell>
          <cell r="R2691" t="str">
            <v>多峰，分别占比10%、85.07%、4.93%</v>
          </cell>
          <cell r="S2691" t="str">
            <v>4200 HS D1000</v>
          </cell>
          <cell r="T2691" t="str">
            <v>周强</v>
          </cell>
          <cell r="U2691" t="str">
            <v>周强</v>
          </cell>
          <cell r="W2691" t="str">
            <v>L0060-E01</v>
          </cell>
          <cell r="X2691">
            <v>1</v>
          </cell>
          <cell r="Y2691" t="str">
            <v>HSD1000 - 2019-01-25 - 15.24.25</v>
          </cell>
          <cell r="AB2691">
            <v>3.103418543614088</v>
          </cell>
          <cell r="AC2691">
            <v>155.63643996224653</v>
          </cell>
          <cell r="AD2691">
            <v>20190126</v>
          </cell>
          <cell r="AE2691" t="str">
            <v>张慧</v>
          </cell>
          <cell r="AH2691">
            <v>163.82220896961485</v>
          </cell>
          <cell r="AI2691" t="str">
            <v>20190126-ZH-001</v>
          </cell>
          <cell r="AJ2691" t="str">
            <v>张慧</v>
          </cell>
          <cell r="AK2691">
            <v>147.45067095487823</v>
          </cell>
          <cell r="AL2691" t="str">
            <v>20190126-ZH-002</v>
          </cell>
          <cell r="AM2691" t="str">
            <v>张慧</v>
          </cell>
        </row>
        <row r="2692">
          <cell r="L2692" t="str">
            <v>HFDNA190122A0104-81</v>
          </cell>
          <cell r="M2692" t="str">
            <v>354/406</v>
          </cell>
          <cell r="N2692" t="str">
            <v>1.71/15.4</v>
          </cell>
          <cell r="O2692">
            <v>65.819999999999993</v>
          </cell>
          <cell r="P2692">
            <v>50</v>
          </cell>
          <cell r="Q2692" t="str">
            <v>不合格</v>
          </cell>
          <cell r="R2692" t="str">
            <v>多峰，分别占比9.97%、90.03%</v>
          </cell>
          <cell r="S2692" t="str">
            <v>4200 HS D1000</v>
          </cell>
          <cell r="T2692" t="str">
            <v>周强</v>
          </cell>
          <cell r="U2692" t="str">
            <v>周强</v>
          </cell>
          <cell r="W2692" t="str">
            <v>L0060-E02</v>
          </cell>
          <cell r="X2692">
            <v>1</v>
          </cell>
          <cell r="Y2692" t="str">
            <v>HSD1000 - 2019-01-25 - 15.56.29</v>
          </cell>
          <cell r="AB2692">
            <v>2.4737594927455246</v>
          </cell>
          <cell r="AC2692">
            <v>162.82284981251041</v>
          </cell>
          <cell r="AD2692">
            <v>20190126</v>
          </cell>
          <cell r="AE2692" t="str">
            <v>张慧</v>
          </cell>
          <cell r="AH2692">
            <v>168.17538118087006</v>
          </cell>
          <cell r="AI2692" t="str">
            <v>20190126-ZH-001</v>
          </cell>
          <cell r="AJ2692" t="str">
            <v>张慧</v>
          </cell>
          <cell r="AK2692">
            <v>192.64254098654737</v>
          </cell>
          <cell r="AL2692" t="str">
            <v>20190126-ZH-002</v>
          </cell>
          <cell r="AM2692" t="str">
            <v>张慧</v>
          </cell>
          <cell r="AN2692">
            <v>157.47031844415073</v>
          </cell>
          <cell r="AO2692" t="str">
            <v>20190126-ZH-003</v>
          </cell>
          <cell r="AP2692" t="str">
            <v>张慧</v>
          </cell>
        </row>
        <row r="2693">
          <cell r="L2693" t="str">
            <v>HFDNA190122A0105-83</v>
          </cell>
          <cell r="M2693" t="str">
            <v>351/403</v>
          </cell>
          <cell r="N2693" t="str">
            <v>1.42/13.6</v>
          </cell>
          <cell r="O2693">
            <v>58.14</v>
          </cell>
          <cell r="P2693">
            <v>50</v>
          </cell>
          <cell r="Q2693" t="str">
            <v>不合格</v>
          </cell>
          <cell r="R2693" t="str">
            <v>多峰，分别占比9.48%、90.52%</v>
          </cell>
          <cell r="S2693" t="str">
            <v>4200 HS D1000</v>
          </cell>
          <cell r="T2693" t="str">
            <v>周强</v>
          </cell>
          <cell r="U2693" t="str">
            <v>周强</v>
          </cell>
          <cell r="W2693" t="str">
            <v>L0060-E03</v>
          </cell>
          <cell r="X2693">
            <v>1</v>
          </cell>
          <cell r="Y2693" t="str">
            <v>HSD1000 - 2019-01-25 - 15.56.29</v>
          </cell>
          <cell r="AB2693">
            <v>2.6736427010492325</v>
          </cell>
          <cell r="AC2693">
            <v>155.44558663900239</v>
          </cell>
          <cell r="AD2693">
            <v>20190126</v>
          </cell>
          <cell r="AE2693" t="str">
            <v>张慧</v>
          </cell>
          <cell r="AH2693">
            <v>153.05072654290782</v>
          </cell>
          <cell r="AI2693" t="str">
            <v>20190126-ZH-001</v>
          </cell>
          <cell r="AJ2693" t="str">
            <v>张慧</v>
          </cell>
          <cell r="AK2693">
            <v>157.84044673509695</v>
          </cell>
          <cell r="AL2693" t="str">
            <v>20190126-ZH-002</v>
          </cell>
          <cell r="AM2693" t="str">
            <v>张慧</v>
          </cell>
        </row>
        <row r="2694">
          <cell r="L2694" t="str">
            <v>HFDNA190122A0106-05</v>
          </cell>
          <cell r="M2694">
            <v>476</v>
          </cell>
          <cell r="N2694">
            <v>17.899999999999999</v>
          </cell>
          <cell r="O2694">
            <v>57.7</v>
          </cell>
          <cell r="P2694">
            <v>18</v>
          </cell>
          <cell r="Q2694" t="str">
            <v>合格</v>
          </cell>
          <cell r="S2694" t="str">
            <v>4200 HS D1000</v>
          </cell>
          <cell r="T2694" t="str">
            <v>周强</v>
          </cell>
          <cell r="U2694" t="str">
            <v>周强</v>
          </cell>
          <cell r="V2694" t="str">
            <v>片段大小15-18kb</v>
          </cell>
          <cell r="W2694" t="str">
            <v>L0060-E04</v>
          </cell>
          <cell r="X2694">
            <v>1</v>
          </cell>
          <cell r="Y2694" t="str">
            <v>HSD1000 - 2019-01-25 - 15.24.25</v>
          </cell>
          <cell r="AB2694">
            <v>3.6044886600043617</v>
          </cell>
          <cell r="AC2694">
            <v>207.97899568225168</v>
          </cell>
          <cell r="AD2694">
            <v>20190126</v>
          </cell>
          <cell r="AE2694" t="str">
            <v>张慧</v>
          </cell>
          <cell r="AH2694">
            <v>207.04036743639517</v>
          </cell>
          <cell r="AI2694" t="str">
            <v>20190126-ZH-001</v>
          </cell>
          <cell r="AJ2694" t="str">
            <v>张慧</v>
          </cell>
          <cell r="AK2694">
            <v>208.91762392810818</v>
          </cell>
          <cell r="AL2694" t="str">
            <v>20190126-ZH-002</v>
          </cell>
          <cell r="AM2694" t="str">
            <v>张慧</v>
          </cell>
        </row>
        <row r="2695">
          <cell r="L2695" t="str">
            <v>HFDNA190122A0107-06</v>
          </cell>
          <cell r="M2695">
            <v>478</v>
          </cell>
          <cell r="N2695">
            <v>15.8</v>
          </cell>
          <cell r="O2695">
            <v>50.8</v>
          </cell>
          <cell r="P2695">
            <v>18</v>
          </cell>
          <cell r="Q2695" t="str">
            <v>合格</v>
          </cell>
          <cell r="S2695" t="str">
            <v>4200 HS D1000</v>
          </cell>
          <cell r="T2695" t="str">
            <v>周强</v>
          </cell>
          <cell r="U2695" t="str">
            <v>周强</v>
          </cell>
          <cell r="V2695" t="str">
            <v>片段大小15-18kb</v>
          </cell>
          <cell r="W2695" t="str">
            <v>L0060-E05</v>
          </cell>
          <cell r="X2695">
            <v>1</v>
          </cell>
          <cell r="Y2695" t="str">
            <v>HSD1000 - 2019-01-25 - 15.24.25</v>
          </cell>
          <cell r="AB2695">
            <v>3.2160459397374543</v>
          </cell>
          <cell r="AC2695">
            <v>163.37513373866267</v>
          </cell>
          <cell r="AD2695">
            <v>20190126</v>
          </cell>
          <cell r="AE2695" t="str">
            <v>张慧</v>
          </cell>
          <cell r="AH2695">
            <v>162.54362766380081</v>
          </cell>
          <cell r="AI2695" t="str">
            <v>20190126-ZH-001</v>
          </cell>
          <cell r="AJ2695" t="str">
            <v>张慧</v>
          </cell>
          <cell r="AK2695">
            <v>164.20663981352453</v>
          </cell>
          <cell r="AL2695" t="str">
            <v>20190126-ZH-002</v>
          </cell>
          <cell r="AM2695" t="str">
            <v>张慧</v>
          </cell>
        </row>
        <row r="2696">
          <cell r="L2696" t="str">
            <v>HFDNA190126A0107-71</v>
          </cell>
          <cell r="M2696">
            <v>480</v>
          </cell>
          <cell r="N2696">
            <v>13</v>
          </cell>
          <cell r="O2696">
            <v>41.7</v>
          </cell>
          <cell r="P2696">
            <v>26</v>
          </cell>
          <cell r="Q2696" t="str">
            <v>合格</v>
          </cell>
          <cell r="S2696" t="str">
            <v>4200 HS D1000</v>
          </cell>
          <cell r="T2696" t="str">
            <v>周强</v>
          </cell>
          <cell r="U2696" t="str">
            <v>周强</v>
          </cell>
          <cell r="V2696" t="str">
            <v>人重</v>
          </cell>
          <cell r="W2696" t="str">
            <v>L0060-F07</v>
          </cell>
          <cell r="X2696">
            <v>1</v>
          </cell>
          <cell r="Y2696" t="str">
            <v>HSD1000 - 2019-01-26 - 12.42.53</v>
          </cell>
          <cell r="AB2696">
            <v>3.0241080441782624</v>
          </cell>
          <cell r="AC2696">
            <v>126.10530544223356</v>
          </cell>
          <cell r="AD2696">
            <v>20190126</v>
          </cell>
          <cell r="AE2696" t="str">
            <v>张慧</v>
          </cell>
          <cell r="AH2696">
            <v>129.50406767498188</v>
          </cell>
          <cell r="AI2696" t="str">
            <v>20190126-ZH-003</v>
          </cell>
          <cell r="AJ2696" t="str">
            <v>张慧</v>
          </cell>
          <cell r="AK2696">
            <v>131.78843021778744</v>
          </cell>
          <cell r="AL2696" t="str">
            <v>20190126-ZH-003</v>
          </cell>
          <cell r="AM2696" t="str">
            <v>张慧</v>
          </cell>
          <cell r="AN2696">
            <v>117.02341843393135</v>
          </cell>
          <cell r="AO2696" t="str">
            <v>20190126-ZH-004</v>
          </cell>
          <cell r="AP2696" t="str">
            <v>张慧</v>
          </cell>
        </row>
        <row r="2697">
          <cell r="L2697" t="str">
            <v>HFDNA190126A0108-72</v>
          </cell>
          <cell r="M2697">
            <v>463</v>
          </cell>
          <cell r="N2697">
            <v>11.2</v>
          </cell>
          <cell r="O2697">
            <v>37.1</v>
          </cell>
          <cell r="P2697">
            <v>26</v>
          </cell>
          <cell r="Q2697" t="str">
            <v>合格</v>
          </cell>
          <cell r="S2697" t="str">
            <v>4200 HS D1000</v>
          </cell>
          <cell r="T2697" t="str">
            <v>周强</v>
          </cell>
          <cell r="U2697" t="str">
            <v>周强</v>
          </cell>
          <cell r="V2697" t="str">
            <v>人重</v>
          </cell>
          <cell r="W2697" t="str">
            <v>L0060-F08</v>
          </cell>
          <cell r="X2697">
            <v>1</v>
          </cell>
          <cell r="Y2697" t="str">
            <v>HSD1000 - 2019-01-26 - 12.50.56</v>
          </cell>
          <cell r="AB2697">
            <v>2.9971181188745999</v>
          </cell>
          <cell r="AC2697">
            <v>111.19308221024767</v>
          </cell>
          <cell r="AD2697">
            <v>20190126</v>
          </cell>
          <cell r="AE2697" t="str">
            <v>张慧</v>
          </cell>
          <cell r="AH2697">
            <v>130.39368494001917</v>
          </cell>
          <cell r="AI2697" t="str">
            <v>20190126-ZH-003</v>
          </cell>
          <cell r="AJ2697" t="str">
            <v>张慧</v>
          </cell>
          <cell r="AK2697">
            <v>103.49249894870626</v>
          </cell>
          <cell r="AL2697" t="str">
            <v>20190126-ZH-003</v>
          </cell>
          <cell r="AM2697" t="str">
            <v>张慧</v>
          </cell>
          <cell r="AN2697">
            <v>99.693062742017574</v>
          </cell>
          <cell r="AO2697" t="str">
            <v>20190126-ZH-004</v>
          </cell>
          <cell r="AP2697" t="str">
            <v>张慧</v>
          </cell>
        </row>
        <row r="2698">
          <cell r="L2698" t="str">
            <v>HFDNA190126A0109-73</v>
          </cell>
          <cell r="M2698">
            <v>464</v>
          </cell>
          <cell r="N2698">
            <v>11.2</v>
          </cell>
          <cell r="O2698">
            <v>37.200000000000003</v>
          </cell>
          <cell r="P2698">
            <v>26</v>
          </cell>
          <cell r="Q2698" t="str">
            <v>合格</v>
          </cell>
          <cell r="S2698" t="str">
            <v>4200 HS D1000</v>
          </cell>
          <cell r="T2698" t="str">
            <v>周强</v>
          </cell>
          <cell r="U2698" t="str">
            <v>周强</v>
          </cell>
          <cell r="V2698" t="str">
            <v>人重</v>
          </cell>
          <cell r="W2698" t="str">
            <v>L0060-F09</v>
          </cell>
          <cell r="X2698">
            <v>1</v>
          </cell>
          <cell r="Y2698" t="str">
            <v>HSD1000 - 2019-01-26 - 12.50.56</v>
          </cell>
          <cell r="AB2698">
            <v>2.4697738782439549</v>
          </cell>
          <cell r="AC2698">
            <v>91.875588270675124</v>
          </cell>
          <cell r="AD2698">
            <v>20190126</v>
          </cell>
          <cell r="AE2698" t="str">
            <v>张慧</v>
          </cell>
          <cell r="AH2698">
            <v>99.371662036999609</v>
          </cell>
          <cell r="AI2698" t="str">
            <v>20190126-ZH-003</v>
          </cell>
          <cell r="AJ2698" t="str">
            <v>张慧</v>
          </cell>
          <cell r="AK2698">
            <v>97.005572835883072</v>
          </cell>
          <cell r="AL2698" t="str">
            <v>20190126-ZH-003</v>
          </cell>
          <cell r="AM2698" t="str">
            <v>张慧</v>
          </cell>
          <cell r="AN2698">
            <v>79.249529939142676</v>
          </cell>
          <cell r="AO2698" t="str">
            <v>20190126-ZH-004</v>
          </cell>
          <cell r="AP2698" t="str">
            <v>张慧</v>
          </cell>
        </row>
        <row r="2699">
          <cell r="L2699" t="str">
            <v>HFDNA190126A0110-74</v>
          </cell>
          <cell r="M2699">
            <v>478</v>
          </cell>
          <cell r="N2699">
            <v>11.2</v>
          </cell>
          <cell r="O2699">
            <v>36.1</v>
          </cell>
          <cell r="P2699">
            <v>26</v>
          </cell>
          <cell r="Q2699" t="str">
            <v>合格</v>
          </cell>
          <cell r="S2699" t="str">
            <v>4200 HS D1000</v>
          </cell>
          <cell r="T2699" t="str">
            <v>周强</v>
          </cell>
          <cell r="U2699" t="str">
            <v>周强</v>
          </cell>
          <cell r="V2699" t="str">
            <v>人重</v>
          </cell>
          <cell r="W2699" t="str">
            <v>L0060-F10</v>
          </cell>
          <cell r="X2699">
            <v>1</v>
          </cell>
          <cell r="Y2699" t="str">
            <v>HSD1000 - 2019-01-26 - 12.50.56</v>
          </cell>
          <cell r="AB2699">
            <v>2.8752070310257976</v>
          </cell>
          <cell r="AC2699">
            <v>103.7949738200313</v>
          </cell>
          <cell r="AD2699">
            <v>20190126</v>
          </cell>
          <cell r="AE2699" t="str">
            <v>张慧</v>
          </cell>
          <cell r="AH2699">
            <v>113.78612730869095</v>
          </cell>
          <cell r="AI2699" t="str">
            <v>20190126-ZH-003</v>
          </cell>
          <cell r="AJ2699" t="str">
            <v>张慧</v>
          </cell>
          <cell r="AK2699">
            <v>104.2718583589451</v>
          </cell>
          <cell r="AL2699" t="str">
            <v>20190126-ZH-003</v>
          </cell>
          <cell r="AM2699" t="str">
            <v>张慧</v>
          </cell>
          <cell r="AN2699">
            <v>93.326935792457832</v>
          </cell>
          <cell r="AO2699" t="str">
            <v>20190126-ZH-004</v>
          </cell>
          <cell r="AP2699" t="str">
            <v>张慧</v>
          </cell>
        </row>
        <row r="2700">
          <cell r="L2700" t="str">
            <v>HFDNA190126A0111-75</v>
          </cell>
          <cell r="M2700">
            <v>472</v>
          </cell>
          <cell r="N2700">
            <v>11.6</v>
          </cell>
          <cell r="O2700">
            <v>38</v>
          </cell>
          <cell r="P2700">
            <v>26</v>
          </cell>
          <cell r="Q2700" t="str">
            <v>合格</v>
          </cell>
          <cell r="S2700" t="str">
            <v>4200 HS D1000</v>
          </cell>
          <cell r="T2700" t="str">
            <v>周强</v>
          </cell>
          <cell r="U2700" t="str">
            <v>周强</v>
          </cell>
          <cell r="V2700" t="str">
            <v>人重</v>
          </cell>
          <cell r="W2700" t="str">
            <v>L0060-F11</v>
          </cell>
          <cell r="X2700">
            <v>1</v>
          </cell>
          <cell r="Y2700" t="str">
            <v>HSD1000 - 2019-01-26 - 12.50.56</v>
          </cell>
          <cell r="AB2700">
            <v>2.8402441671149479</v>
          </cell>
          <cell r="AC2700">
            <v>107.92927835036802</v>
          </cell>
          <cell r="AD2700">
            <v>20190126</v>
          </cell>
          <cell r="AE2700" t="str">
            <v>张慧</v>
          </cell>
          <cell r="AH2700">
            <v>114.2800558734466</v>
          </cell>
          <cell r="AI2700" t="str">
            <v>20190126-ZH-003</v>
          </cell>
          <cell r="AJ2700" t="str">
            <v>张慧</v>
          </cell>
          <cell r="AK2700">
            <v>115.44406789231205</v>
          </cell>
          <cell r="AL2700" t="str">
            <v>20190126-ZH-003</v>
          </cell>
          <cell r="AM2700" t="str">
            <v>张慧</v>
          </cell>
          <cell r="AN2700">
            <v>94.063711285345448</v>
          </cell>
          <cell r="AO2700" t="str">
            <v>20190126-ZH-004</v>
          </cell>
          <cell r="AP2700" t="str">
            <v>张慧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"/>
  <sheetViews>
    <sheetView tabSelected="1" workbookViewId="0">
      <selection activeCell="D24" sqref="D24"/>
    </sheetView>
  </sheetViews>
  <sheetFormatPr defaultColWidth="8.875" defaultRowHeight="11.25" x14ac:dyDescent="0.15"/>
  <cols>
    <col min="1" max="1" width="95.5" style="1" customWidth="1"/>
    <col min="2" max="2" width="8.875" style="1"/>
    <col min="3" max="3" width="13" style="1" customWidth="1"/>
    <col min="4" max="4" width="19.25" style="1" customWidth="1"/>
    <col min="5" max="5" width="14.625" style="1" customWidth="1"/>
    <col min="6" max="7" width="8.875" style="1"/>
    <col min="8" max="8" width="20.875" style="1" customWidth="1"/>
    <col min="9" max="9" width="14.75" style="1" customWidth="1"/>
    <col min="10" max="10" width="14.5" style="1" customWidth="1"/>
    <col min="11" max="11" width="28" style="1" bestFit="1" customWidth="1"/>
    <col min="12" max="12" width="11" style="2" customWidth="1"/>
    <col min="13" max="13" width="11.625" style="1" customWidth="1"/>
    <col min="14" max="14" width="12.5" style="1" customWidth="1"/>
    <col min="15" max="16384" width="8.875" style="1"/>
  </cols>
  <sheetData>
    <row r="1" spans="1:12" s="5" customFormat="1" ht="12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9</v>
      </c>
      <c r="J1" s="5" t="s">
        <v>10</v>
      </c>
      <c r="L1" s="6"/>
    </row>
    <row r="2" spans="1:12" ht="16.5" x14ac:dyDescent="0.15">
      <c r="A2" s="1" t="s">
        <v>13</v>
      </c>
      <c r="B2" s="7" t="s">
        <v>14</v>
      </c>
      <c r="C2" s="7" t="s">
        <v>17</v>
      </c>
      <c r="D2" s="7" t="s">
        <v>8</v>
      </c>
      <c r="E2" s="8">
        <v>3</v>
      </c>
      <c r="F2" s="9" t="s">
        <v>20</v>
      </c>
      <c r="G2" s="9" t="s">
        <v>21</v>
      </c>
      <c r="H2" s="10" t="s">
        <v>26</v>
      </c>
      <c r="I2" s="11">
        <f>VLOOKUP(H2,[5]Sheet1!$L$2676:$AQ$2700,18,0)</f>
        <v>217.98840005378258</v>
      </c>
      <c r="J2" s="1">
        <v>531</v>
      </c>
      <c r="L2" s="4"/>
    </row>
    <row r="3" spans="1:12" ht="16.5" x14ac:dyDescent="0.15">
      <c r="A3" s="1" t="s">
        <v>13</v>
      </c>
      <c r="B3" s="7" t="s">
        <v>15</v>
      </c>
      <c r="C3" s="7" t="s">
        <v>18</v>
      </c>
      <c r="D3" s="7" t="s">
        <v>8</v>
      </c>
      <c r="E3" s="8">
        <v>3</v>
      </c>
      <c r="F3" s="9" t="s">
        <v>22</v>
      </c>
      <c r="G3" s="9" t="s">
        <v>23</v>
      </c>
      <c r="H3" s="10" t="s">
        <v>27</v>
      </c>
      <c r="I3" s="11">
        <f>VLOOKUP(H3,[5]Sheet1!$L$2676:$AQ$2700,18,0)</f>
        <v>126.14149411749779</v>
      </c>
      <c r="J3" s="1">
        <v>528</v>
      </c>
      <c r="L3" s="4"/>
    </row>
    <row r="4" spans="1:12" ht="16.5" x14ac:dyDescent="0.15">
      <c r="A4" s="1" t="s">
        <v>13</v>
      </c>
      <c r="B4" s="7" t="s">
        <v>16</v>
      </c>
      <c r="C4" s="7" t="s">
        <v>19</v>
      </c>
      <c r="D4" s="7" t="s">
        <v>8</v>
      </c>
      <c r="E4" s="8">
        <v>2</v>
      </c>
      <c r="F4" s="9" t="s">
        <v>24</v>
      </c>
      <c r="G4" s="9" t="s">
        <v>25</v>
      </c>
      <c r="H4" s="10" t="s">
        <v>28</v>
      </c>
      <c r="I4" s="11">
        <f>VLOOKUP(H4,[5]Sheet1!$L$2676:$AQ$2700,18,0)</f>
        <v>171.39528305724184</v>
      </c>
      <c r="J4" s="1">
        <v>529</v>
      </c>
      <c r="L4" s="4"/>
    </row>
    <row r="5" spans="1:12" x14ac:dyDescent="0.15">
      <c r="K5" s="3"/>
      <c r="L5" s="4"/>
    </row>
    <row r="9" spans="1:12" x14ac:dyDescent="0.15">
      <c r="B9" s="3"/>
      <c r="C9" s="3"/>
      <c r="D9" s="3"/>
      <c r="K9" s="3"/>
      <c r="L9" s="4"/>
    </row>
    <row r="13" spans="1:12" x14ac:dyDescent="0.15">
      <c r="B13" s="3"/>
      <c r="C13" s="3"/>
      <c r="D13" s="3"/>
      <c r="K13" s="3"/>
      <c r="L13" s="4"/>
    </row>
    <row r="18" spans="2:14" x14ac:dyDescent="0.15">
      <c r="B18" s="3"/>
      <c r="C18" s="3"/>
      <c r="D18" s="3"/>
      <c r="K18" s="3"/>
      <c r="L18" s="4"/>
    </row>
    <row r="19" spans="2:14" x14ac:dyDescent="0.15">
      <c r="D19" s="3"/>
      <c r="L19" s="4"/>
    </row>
    <row r="20" spans="2:14" x14ac:dyDescent="0.15">
      <c r="D20" s="3"/>
      <c r="L20" s="4"/>
    </row>
    <row r="21" spans="2:14" x14ac:dyDescent="0.15">
      <c r="D21" s="3"/>
      <c r="L21" s="4"/>
    </row>
    <row r="22" spans="2:14" x14ac:dyDescent="0.15">
      <c r="D22" s="3"/>
      <c r="L22" s="4"/>
    </row>
    <row r="23" spans="2:14" x14ac:dyDescent="0.15">
      <c r="D23" s="3"/>
      <c r="L23" s="4"/>
    </row>
    <row r="24" spans="2:14" x14ac:dyDescent="0.15">
      <c r="D24" s="3"/>
      <c r="L24" s="4"/>
    </row>
    <row r="25" spans="2:14" x14ac:dyDescent="0.15">
      <c r="L25" s="4"/>
      <c r="N25" s="2"/>
    </row>
    <row r="26" spans="2:14" x14ac:dyDescent="0.15">
      <c r="L26" s="4"/>
      <c r="N26" s="2"/>
    </row>
    <row r="27" spans="2:14" x14ac:dyDescent="0.15">
      <c r="L27" s="4"/>
      <c r="N27" s="2"/>
    </row>
    <row r="28" spans="2:14" x14ac:dyDescent="0.15">
      <c r="L28" s="4"/>
      <c r="N28" s="2"/>
    </row>
    <row r="29" spans="2:14" x14ac:dyDescent="0.15">
      <c r="L29" s="4"/>
      <c r="N29" s="2"/>
    </row>
    <row r="30" spans="2:14" x14ac:dyDescent="0.15">
      <c r="L30" s="4"/>
      <c r="N30" s="2"/>
    </row>
    <row r="31" spans="2:14" x14ac:dyDescent="0.15">
      <c r="L31" s="4"/>
      <c r="N31" s="2"/>
    </row>
    <row r="32" spans="2:14" x14ac:dyDescent="0.15">
      <c r="L32" s="4"/>
      <c r="N32" s="2"/>
    </row>
    <row r="33" spans="4:14" x14ac:dyDescent="0.15">
      <c r="L33" s="4"/>
      <c r="N33" s="2"/>
    </row>
    <row r="37" spans="4:14" x14ac:dyDescent="0.15">
      <c r="D37" s="3"/>
    </row>
    <row r="38" spans="4:14" x14ac:dyDescent="0.15">
      <c r="D38" s="3"/>
    </row>
    <row r="39" spans="4:14" x14ac:dyDescent="0.15">
      <c r="D39" s="3"/>
    </row>
    <row r="40" spans="4:14" x14ac:dyDescent="0.15">
      <c r="D40" s="3"/>
    </row>
    <row r="41" spans="4:14" x14ac:dyDescent="0.15">
      <c r="D41" s="3"/>
    </row>
  </sheetData>
  <phoneticPr fontId="2" type="noConversion"/>
  <conditionalFormatting sqref="G34:G1048576 F9 F13 F18:F33">
    <cfRule type="duplicateValues" dxfId="13" priority="16"/>
  </conditionalFormatting>
  <conditionalFormatting sqref="G9 G13 G18:G1048576">
    <cfRule type="duplicateValues" dxfId="12" priority="15"/>
  </conditionalFormatting>
  <conditionalFormatting sqref="G1">
    <cfRule type="duplicateValues" dxfId="11" priority="9"/>
  </conditionalFormatting>
  <conditionalFormatting sqref="H1:H5 H9 H13 H18:H1048576">
    <cfRule type="duplicateValues" dxfId="10" priority="1"/>
  </conditionalFormatting>
  <pageMargins left="0.75" right="0.75" top="1" bottom="1" header="0.51180555555555596" footer="0.51180555555555596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9AF842-D6D0-44FE-9ED0-E34247E303FB}">
          <x14:formula1>
            <xm:f>'Z:\实验部\测序组\测序\测序任务单\pooling任务单下达  20190219-001 MiseqPE300 - 外包测序-世和 - 副本\[01-KC190218-001  MAKF181015019-P1-32个细菌文库的扩增子建库测序技术服务（委托）合同-王洪涛10期3例-DNA小片段-run1测序.xlsx]建库类型+测序策略'!#REF!</xm:f>
          </x14:formula1>
          <xm:sqref>D2:D4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B422D-AF9B-41D7-9D7B-B777C5149367}">
  <dimension ref="A1:L3"/>
  <sheetViews>
    <sheetView workbookViewId="0">
      <selection activeCell="A22" sqref="A22"/>
    </sheetView>
  </sheetViews>
  <sheetFormatPr defaultColWidth="8.875" defaultRowHeight="13.5" x14ac:dyDescent="0.15"/>
  <cols>
    <col min="1" max="1" width="95.5" customWidth="1"/>
    <col min="3" max="3" width="13" customWidth="1"/>
    <col min="4" max="4" width="19.25" customWidth="1"/>
    <col min="5" max="5" width="14.625" customWidth="1"/>
    <col min="8" max="8" width="20.875" customWidth="1"/>
    <col min="9" max="9" width="14.75" customWidth="1"/>
    <col min="10" max="10" width="14.5" customWidth="1"/>
    <col min="11" max="11" width="28" bestFit="1" customWidth="1"/>
    <col min="12" max="12" width="11" customWidth="1"/>
    <col min="13" max="13" width="11.625" customWidth="1"/>
    <col min="14" max="14" width="12.5" customWidth="1"/>
  </cols>
  <sheetData>
    <row r="1" spans="1:12" s="5" customFormat="1" ht="12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9</v>
      </c>
      <c r="J1" s="5" t="s">
        <v>10</v>
      </c>
      <c r="L1" s="6"/>
    </row>
    <row r="2" spans="1:12" s="1" customFormat="1" ht="16.5" x14ac:dyDescent="0.15">
      <c r="A2" s="1" t="s">
        <v>39</v>
      </c>
      <c r="B2" s="7" t="s">
        <v>29</v>
      </c>
      <c r="C2" s="7" t="s">
        <v>31</v>
      </c>
      <c r="D2" s="7" t="s">
        <v>8</v>
      </c>
      <c r="E2" s="8">
        <v>4.8</v>
      </c>
      <c r="F2" s="9" t="s">
        <v>33</v>
      </c>
      <c r="G2" s="9" t="s">
        <v>34</v>
      </c>
      <c r="H2" s="10" t="s">
        <v>35</v>
      </c>
      <c r="I2" s="11">
        <f>VLOOKUP(H2,[5]Sheet1!$L$2676:$AQ$2700,18,0)</f>
        <v>166.84394216539255</v>
      </c>
      <c r="J2" s="1">
        <v>524</v>
      </c>
      <c r="L2" s="4"/>
    </row>
    <row r="3" spans="1:12" s="1" customFormat="1" ht="16.5" x14ac:dyDescent="0.15">
      <c r="A3" s="1" t="s">
        <v>39</v>
      </c>
      <c r="B3" s="7" t="s">
        <v>30</v>
      </c>
      <c r="C3" s="7" t="s">
        <v>32</v>
      </c>
      <c r="D3" s="7" t="s">
        <v>8</v>
      </c>
      <c r="E3" s="8">
        <v>3</v>
      </c>
      <c r="F3" s="9" t="s">
        <v>36</v>
      </c>
      <c r="G3" s="9" t="s">
        <v>37</v>
      </c>
      <c r="H3" s="10" t="s">
        <v>38</v>
      </c>
      <c r="I3" s="11">
        <f>VLOOKUP(H3,[5]Sheet1!$L$2676:$AQ$2700,18,0)</f>
        <v>286.18576718797186</v>
      </c>
      <c r="J3" s="1">
        <v>529</v>
      </c>
      <c r="L3" s="4"/>
    </row>
  </sheetData>
  <phoneticPr fontId="2" type="noConversion"/>
  <conditionalFormatting sqref="G1">
    <cfRule type="duplicateValues" dxfId="9" priority="3"/>
  </conditionalFormatting>
  <conditionalFormatting sqref="G1">
    <cfRule type="duplicateValues" dxfId="8" priority="2"/>
  </conditionalFormatting>
  <conditionalFormatting sqref="H2:H3">
    <cfRule type="duplicateValues" dxfId="7" priority="4"/>
  </conditionalFormatting>
  <conditionalFormatting sqref="H1">
    <cfRule type="duplicateValues" dxfId="6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BDFB6F-504A-4A1D-877F-A4BB19037532}">
          <x14:formula1>
            <xm:f>'Z:\实验部\测序组\测序\测序任务单\pooling任务单下达  20190219-001 MiseqPE300 - 外包测序-世和 - 副本\[02-KC190218-001  MAKF181015019-P1-32个细菌文库的扩增子建库测序技术服务（委托）合同-王洪涛11期2例-DNA小片段-run2测序.xlsx]建库类型+测序策略'!#REF!</xm:f>
          </x14:formula1>
          <xm:sqref>D2:D3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2ECC-54DD-4328-BCB8-24055DDD4825}">
  <dimension ref="A1:L3"/>
  <sheetViews>
    <sheetView workbookViewId="0">
      <selection sqref="A1:XFD3"/>
    </sheetView>
  </sheetViews>
  <sheetFormatPr defaultColWidth="8.875" defaultRowHeight="13.5" x14ac:dyDescent="0.15"/>
  <cols>
    <col min="1" max="1" width="95.5" customWidth="1"/>
    <col min="3" max="3" width="13" customWidth="1"/>
    <col min="4" max="4" width="19.25" customWidth="1"/>
    <col min="5" max="5" width="14.625" customWidth="1"/>
    <col min="8" max="8" width="20.875" customWidth="1"/>
    <col min="9" max="9" width="14.75" customWidth="1"/>
    <col min="10" max="10" width="14.5" customWidth="1"/>
    <col min="11" max="11" width="28" bestFit="1" customWidth="1"/>
    <col min="12" max="12" width="11" customWidth="1"/>
    <col min="13" max="13" width="11.625" customWidth="1"/>
    <col min="14" max="14" width="12.5" customWidth="1"/>
  </cols>
  <sheetData>
    <row r="1" spans="1:12" s="5" customFormat="1" ht="12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9</v>
      </c>
      <c r="J1" s="5" t="s">
        <v>10</v>
      </c>
      <c r="L1" s="6"/>
    </row>
    <row r="2" spans="1:12" s="1" customFormat="1" ht="16.5" x14ac:dyDescent="0.15">
      <c r="A2" s="1" t="s">
        <v>40</v>
      </c>
      <c r="B2" s="7" t="s">
        <v>16</v>
      </c>
      <c r="C2" s="7" t="s">
        <v>19</v>
      </c>
      <c r="D2" s="7" t="s">
        <v>8</v>
      </c>
      <c r="E2" s="8">
        <v>2</v>
      </c>
      <c r="F2" s="9" t="s">
        <v>24</v>
      </c>
      <c r="G2" s="9" t="s">
        <v>25</v>
      </c>
      <c r="H2" s="10" t="s">
        <v>28</v>
      </c>
      <c r="I2" s="11">
        <f>VLOOKUP(H2,[5]Sheet1!$L$2676:$AQ$2700,18,0)</f>
        <v>171.39528305724184</v>
      </c>
      <c r="J2" s="1">
        <v>529</v>
      </c>
      <c r="L2" s="4"/>
    </row>
    <row r="3" spans="1:12" s="1" customFormat="1" ht="16.5" x14ac:dyDescent="0.15">
      <c r="A3" s="1" t="s">
        <v>40</v>
      </c>
      <c r="B3" s="7" t="s">
        <v>41</v>
      </c>
      <c r="C3" s="7" t="s">
        <v>42</v>
      </c>
      <c r="D3" s="7" t="s">
        <v>8</v>
      </c>
      <c r="E3" s="8">
        <v>6</v>
      </c>
      <c r="F3" s="9" t="s">
        <v>43</v>
      </c>
      <c r="G3" s="9" t="s">
        <v>44</v>
      </c>
      <c r="H3" s="10" t="s">
        <v>45</v>
      </c>
      <c r="I3" s="11">
        <f>VLOOKUP(H3,[5]Sheet1!$L$2676:$AQ$2700,18,0)</f>
        <v>155.63643996224653</v>
      </c>
      <c r="J3" s="1">
        <v>528</v>
      </c>
      <c r="L3" s="4"/>
    </row>
  </sheetData>
  <phoneticPr fontId="2" type="noConversion"/>
  <conditionalFormatting sqref="G1">
    <cfRule type="duplicateValues" dxfId="5" priority="3"/>
  </conditionalFormatting>
  <conditionalFormatting sqref="G1">
    <cfRule type="duplicateValues" dxfId="4" priority="2"/>
  </conditionalFormatting>
  <conditionalFormatting sqref="H1:H3">
    <cfRule type="duplicateValues" dxfId="3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8261C9E-41AB-49D2-AD4F-3DCA174D2B26}">
          <x14:formula1>
            <xm:f>'Z:\实验部\测序组\测序\测序任务单\pooling任务单下达  20190219-001 MiseqPE300 - 外包测序-世和 - 副本\[03-KC190218-001  MAKF181015019-P1-32个细菌文库的扩增子建库测序技术服务（委托）合同-王洪涛12期2例-DNA小片段-run3测序.xlsx]建库类型+测序策略'!#REF!</xm:f>
          </x14:formula1>
          <xm:sqref>D2:D3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AFA26-0D10-4D1C-8851-764B37491A05}">
  <dimension ref="A1:L4"/>
  <sheetViews>
    <sheetView workbookViewId="0">
      <selection activeCell="A16" sqref="A16"/>
    </sheetView>
  </sheetViews>
  <sheetFormatPr defaultColWidth="8.875" defaultRowHeight="13.5" x14ac:dyDescent="0.15"/>
  <cols>
    <col min="1" max="1" width="95.5" customWidth="1"/>
    <col min="3" max="3" width="13" customWidth="1"/>
    <col min="4" max="4" width="19.25" customWidth="1"/>
    <col min="5" max="5" width="14.625" customWidth="1"/>
    <col min="8" max="8" width="20.875" customWidth="1"/>
    <col min="9" max="9" width="14.75" customWidth="1"/>
    <col min="10" max="10" width="14.5" customWidth="1"/>
    <col min="11" max="11" width="28" bestFit="1" customWidth="1"/>
    <col min="12" max="12" width="11" customWidth="1"/>
    <col min="13" max="13" width="11.625" customWidth="1"/>
    <col min="14" max="14" width="12.5" customWidth="1"/>
  </cols>
  <sheetData>
    <row r="1" spans="1:12" s="5" customFormat="1" ht="12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9</v>
      </c>
      <c r="J1" s="5" t="s">
        <v>10</v>
      </c>
      <c r="L1" s="6"/>
    </row>
    <row r="2" spans="1:12" s="1" customFormat="1" ht="16.5" x14ac:dyDescent="0.15">
      <c r="A2" s="1" t="s">
        <v>54</v>
      </c>
      <c r="B2" s="7" t="s">
        <v>16</v>
      </c>
      <c r="C2" s="7" t="s">
        <v>19</v>
      </c>
      <c r="D2" s="7" t="s">
        <v>8</v>
      </c>
      <c r="E2" s="8">
        <v>2</v>
      </c>
      <c r="F2" s="9" t="s">
        <v>24</v>
      </c>
      <c r="G2" s="9" t="s">
        <v>25</v>
      </c>
      <c r="H2" s="10" t="s">
        <v>28</v>
      </c>
      <c r="I2" s="11">
        <f>VLOOKUP(H2,[5]Sheet1!$L$2676:$AQ$2700,18,0)</f>
        <v>171.39528305724184</v>
      </c>
      <c r="J2" s="1">
        <v>529</v>
      </c>
      <c r="L2" s="4"/>
    </row>
    <row r="3" spans="1:12" s="1" customFormat="1" ht="16.5" x14ac:dyDescent="0.15">
      <c r="A3" s="1" t="s">
        <v>54</v>
      </c>
      <c r="B3" s="7" t="s">
        <v>46</v>
      </c>
      <c r="C3" s="7" t="s">
        <v>48</v>
      </c>
      <c r="D3" s="7" t="s">
        <v>8</v>
      </c>
      <c r="E3" s="8">
        <v>3</v>
      </c>
      <c r="F3" s="9" t="s">
        <v>50</v>
      </c>
      <c r="G3" s="9" t="s">
        <v>12</v>
      </c>
      <c r="H3" s="10" t="s">
        <v>52</v>
      </c>
      <c r="I3" s="11">
        <f>VLOOKUP(H3,[5]Sheet1!$L$2676:$AQ$2700,18,0)</f>
        <v>162.82284981251041</v>
      </c>
      <c r="J3" s="1">
        <v>406</v>
      </c>
      <c r="L3" s="4"/>
    </row>
    <row r="4" spans="1:12" s="1" customFormat="1" ht="16.5" x14ac:dyDescent="0.15">
      <c r="A4" s="1" t="s">
        <v>54</v>
      </c>
      <c r="B4" s="7" t="s">
        <v>47</v>
      </c>
      <c r="C4" s="7" t="s">
        <v>49</v>
      </c>
      <c r="D4" s="7" t="s">
        <v>8</v>
      </c>
      <c r="E4" s="8">
        <v>3</v>
      </c>
      <c r="F4" s="9" t="s">
        <v>51</v>
      </c>
      <c r="G4" s="9" t="s">
        <v>11</v>
      </c>
      <c r="H4" s="10" t="s">
        <v>53</v>
      </c>
      <c r="I4" s="11">
        <f>VLOOKUP(H4,[5]Sheet1!$L$2676:$AQ$2700,18,0)</f>
        <v>155.44558663900239</v>
      </c>
      <c r="J4" s="1">
        <v>403</v>
      </c>
      <c r="L4" s="4"/>
    </row>
  </sheetData>
  <phoneticPr fontId="2" type="noConversion"/>
  <conditionalFormatting sqref="G1">
    <cfRule type="duplicateValues" dxfId="2" priority="3"/>
  </conditionalFormatting>
  <conditionalFormatting sqref="G1">
    <cfRule type="duplicateValues" dxfId="1" priority="2"/>
  </conditionalFormatting>
  <conditionalFormatting sqref="H1:H4">
    <cfRule type="duplicateValues" dxfId="0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942769-F432-4F50-B7A4-4B0AAC4171AC}">
          <x14:formula1>
            <xm:f>'Z:\实验部\测序组\测序\测序任务单\pooling任务单下达  20190219-001 MiseqPE300 - 外包测序-世和 - 副本\[04-KC190218-001  MAKF181015019-P1-32个细菌文库的扩增子建库测序技术服务（委托）合同-王洪涛14期3例-DNA小片段-run4测序.xlsx]建库类型+测序策略'!#REF!</xm:f>
          </x14:formula1>
          <xm:sqref>D2:D4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lane1</vt:lpstr>
      <vt:lpstr>lane2</vt:lpstr>
      <vt:lpstr>lane3</vt:lpstr>
      <vt:lpstr>lane4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Qsep</cp:lastModifiedBy>
  <dcterms:created xsi:type="dcterms:W3CDTF">2019-01-02T02:32:00Z</dcterms:created>
  <dcterms:modified xsi:type="dcterms:W3CDTF">2019-02-19T01:29:43Z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