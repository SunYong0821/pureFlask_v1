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20190314\"/>
    </mc:Choice>
  </mc:AlternateContent>
  <xr:revisionPtr revIDLastSave="0" documentId="13_ncr:1_{A35A8C9D-D096-48E2-8CEB-66703125539A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lane1" sheetId="2" r:id="rId1"/>
    <sheet name="Sheet1" sheetId="3" r:id="rId2"/>
  </sheets>
  <externalReferences>
    <externalReference r:id="rId3"/>
  </externalReferences>
  <calcPr calcId="181029"/>
</workbook>
</file>

<file path=xl/calcChain.xml><?xml version="1.0" encoding="utf-8"?>
<calcChain xmlns="http://schemas.openxmlformats.org/spreadsheetml/2006/main"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7" i="2"/>
  <c r="I69" i="2" l="1"/>
  <c r="I70" i="2"/>
  <c r="I71" i="2"/>
  <c r="I72" i="2"/>
  <c r="I73" i="2"/>
  <c r="I74" i="2"/>
  <c r="I68" i="2"/>
  <c r="H69" i="2"/>
  <c r="H70" i="2"/>
  <c r="H71" i="2"/>
  <c r="H72" i="2"/>
  <c r="H73" i="2"/>
  <c r="H74" i="2"/>
  <c r="H68" i="2"/>
  <c r="I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</calcChain>
</file>

<file path=xl/sharedStrings.xml><?xml version="1.0" encoding="utf-8"?>
<sst xmlns="http://schemas.openxmlformats.org/spreadsheetml/2006/main" count="1086" uniqueCount="434">
  <si>
    <t>任务单名称</t>
  </si>
  <si>
    <t>样本名称</t>
  </si>
  <si>
    <t>下单pooling数据量</t>
  </si>
  <si>
    <t>文库号</t>
  </si>
  <si>
    <t>i5Index序列</t>
  </si>
  <si>
    <t>i7Index序列</t>
  </si>
  <si>
    <t>文库类型</t>
  </si>
  <si>
    <t>片段大小</t>
  </si>
  <si>
    <t>TTGCGGTT</t>
  </si>
  <si>
    <t>CATTGCTT</t>
  </si>
  <si>
    <t>ATGAACCT</t>
  </si>
  <si>
    <t>ACCAGACT</t>
  </si>
  <si>
    <t>TCTTATAT</t>
  </si>
  <si>
    <t>GTTACTTG</t>
  </si>
  <si>
    <t>TGACAGAC</t>
  </si>
  <si>
    <t>CCGTCACG</t>
  </si>
  <si>
    <t>GTTGCAAC</t>
  </si>
  <si>
    <t>CTACGCAC</t>
  </si>
  <si>
    <t>GCGAAGTA</t>
  </si>
  <si>
    <t>TACTATGA</t>
  </si>
  <si>
    <t>AGGTTAAC</t>
  </si>
  <si>
    <t>CTACCATA</t>
  </si>
  <si>
    <t>GCGACTCC</t>
  </si>
  <si>
    <t>TAAGGCGC</t>
  </si>
  <si>
    <t>AGGTGCCG</t>
  </si>
  <si>
    <t>16sV3-V4</t>
  </si>
  <si>
    <t>CGGTATCA</t>
  </si>
  <si>
    <t>AAGGATGC</t>
  </si>
  <si>
    <t>GGCCGGTT</t>
  </si>
  <si>
    <t>CCGGCTAA</t>
  </si>
  <si>
    <t>TTGCTACG</t>
  </si>
  <si>
    <t>ACACGCGG</t>
  </si>
  <si>
    <t>TTGGCGCC</t>
  </si>
  <si>
    <t>CATCATAA</t>
  </si>
  <si>
    <t>GAGCTGAC</t>
  </si>
  <si>
    <t>GTGGTCGT</t>
  </si>
  <si>
    <t>CGATCCTG</t>
  </si>
  <si>
    <t>AAGACGTC</t>
  </si>
  <si>
    <t>GCTCTCTA</t>
  </si>
  <si>
    <t>KC190225-001-DASH项目-DNA小片段测序分析技术服务-1期5例-DNA小片段文库-建库测序分析</t>
  </si>
  <si>
    <t>KC190308-001 MAKF190117012-成医4个PCR产物样本的建库测序技术服务（委托）合同-PCR产物-第1期4例-建库测序</t>
  </si>
  <si>
    <t>KC190312-003 KC190228-003 MAKF190110011-复旦大学51个样本的16S区域扩增子测序分析技术服务（委托）合同-1期51例-16sV3-V4-测序分析任务单</t>
  </si>
  <si>
    <t>KC190312-002 MAKF180709012-150个环境样本菌群结构建库测序-4期4例-16sV4-V5-测序分析任务单</t>
  </si>
  <si>
    <t>KC190312-001 MAKF190124012-安徽农业大学3个环境微生物DNA样本的16S ITS区域扩增子测序分析技术服务（委托）合同-1期6例-16sV3-V4&amp;ITS1-测序分析任务单</t>
  </si>
  <si>
    <t>KC190313-002  MAKF181210014-孙建军12个人粪便样本的16S区域扩增子测序分析-3期7例-16sV3-V4-测序分析</t>
  </si>
  <si>
    <t>KC190313-004 MAKF181112011-省农科院500个样本的16S区域扩增子测序分析技术服务（委托）合同-4期99例-16sV3-V4-测序分析任务单</t>
  </si>
  <si>
    <t>KC190313-005 MAKF190116012-省农科院650个样本的16S区域扩增子测序分析技术服务（委托）合同-1期2例加测-16sV3-V4-测序分析任务单</t>
  </si>
  <si>
    <t>100%-WT</t>
  </si>
  <si>
    <t>10%-MT</t>
  </si>
  <si>
    <t>1%-MT</t>
  </si>
  <si>
    <t>0.1%-MT</t>
  </si>
  <si>
    <t>100%-MT</t>
  </si>
  <si>
    <t>ECC</t>
  </si>
  <si>
    <t>EGC</t>
  </si>
  <si>
    <t>ECT</t>
  </si>
  <si>
    <t>ETC</t>
  </si>
  <si>
    <t>FA13-1</t>
  </si>
  <si>
    <t>FA14-1</t>
  </si>
  <si>
    <t>FA15-1</t>
  </si>
  <si>
    <t>FA16-1</t>
  </si>
  <si>
    <t>FA17-1</t>
  </si>
  <si>
    <t>FA18-1</t>
  </si>
  <si>
    <t>PM31-1</t>
  </si>
  <si>
    <t>PM32-1</t>
  </si>
  <si>
    <t>PM33-1</t>
  </si>
  <si>
    <t>PM34-1</t>
  </si>
  <si>
    <t>PM35-1</t>
  </si>
  <si>
    <t>PM36-1</t>
  </si>
  <si>
    <t>FAE49-1</t>
  </si>
  <si>
    <t>FAE50-1</t>
  </si>
  <si>
    <t>FAE51-1</t>
  </si>
  <si>
    <t>FAE52-1</t>
  </si>
  <si>
    <t>FAE53-1</t>
  </si>
  <si>
    <t>FAE54-1</t>
  </si>
  <si>
    <t>PME68-1</t>
  </si>
  <si>
    <t>PME69-1</t>
  </si>
  <si>
    <t>PME70-1</t>
  </si>
  <si>
    <t>PME71-1</t>
  </si>
  <si>
    <t>PME72-1</t>
  </si>
  <si>
    <t>PME93-1</t>
  </si>
  <si>
    <t>FA13-3</t>
  </si>
  <si>
    <t>FA14-3</t>
  </si>
  <si>
    <t>FA15-3</t>
  </si>
  <si>
    <t>FA17-3</t>
  </si>
  <si>
    <t>FA18-3</t>
  </si>
  <si>
    <t>PM31-3</t>
  </si>
  <si>
    <t>PM32-3</t>
  </si>
  <si>
    <t>PM33-3</t>
  </si>
  <si>
    <t>PM34-3</t>
  </si>
  <si>
    <t>PM35-3</t>
  </si>
  <si>
    <t>PM36-3</t>
  </si>
  <si>
    <t>FAE49-3</t>
  </si>
  <si>
    <t>FAE50-3</t>
  </si>
  <si>
    <t>FAE51-3</t>
  </si>
  <si>
    <t>FAE52-3</t>
  </si>
  <si>
    <t>FAE53-3</t>
  </si>
  <si>
    <t>FAE54-3</t>
  </si>
  <si>
    <t>PME 0-33.25</t>
  </si>
  <si>
    <t>PME68-3</t>
  </si>
  <si>
    <t>PME 0-34.2</t>
  </si>
  <si>
    <t>PME70-3</t>
  </si>
  <si>
    <t>PME71-3</t>
  </si>
  <si>
    <t>CT73</t>
  </si>
  <si>
    <t>CT74</t>
  </si>
  <si>
    <t>CT77</t>
  </si>
  <si>
    <t>CT78</t>
  </si>
  <si>
    <t>CT79</t>
  </si>
  <si>
    <t>TOD</t>
  </si>
  <si>
    <t>TOE</t>
  </si>
  <si>
    <t>TOF</t>
  </si>
  <si>
    <t>TOG</t>
  </si>
  <si>
    <t>11-1</t>
  </si>
  <si>
    <t>11-2</t>
  </si>
  <si>
    <t>11-3</t>
  </si>
  <si>
    <t>26-2</t>
  </si>
  <si>
    <t>27-2</t>
  </si>
  <si>
    <t>28-2</t>
  </si>
  <si>
    <t>LX-CeC1</t>
  </si>
  <si>
    <t>LX-CeC2</t>
  </si>
  <si>
    <t>LX-CeC3</t>
  </si>
  <si>
    <t>LX-CeC4</t>
  </si>
  <si>
    <t>LX-CeC5</t>
  </si>
  <si>
    <t>LX-CeC6</t>
  </si>
  <si>
    <t>LX-CeC7</t>
  </si>
  <si>
    <t>LX-CeC8</t>
  </si>
  <si>
    <t>LX-CeC9</t>
  </si>
  <si>
    <t>LX-CeC10</t>
  </si>
  <si>
    <t>LX-CeC11</t>
  </si>
  <si>
    <t>LX-CeC12</t>
  </si>
  <si>
    <t>LX-CeC13</t>
  </si>
  <si>
    <t>LX-CeC14</t>
  </si>
  <si>
    <t>LX-CeC15</t>
  </si>
  <si>
    <t>LX-CeC16</t>
  </si>
  <si>
    <t>LX-CeC17</t>
  </si>
  <si>
    <t>LX-CeC18</t>
  </si>
  <si>
    <t>LX-CeC19</t>
  </si>
  <si>
    <t>LX-CeC20</t>
  </si>
  <si>
    <t>LX-CeC21</t>
  </si>
  <si>
    <t>LX-CeC22</t>
  </si>
  <si>
    <t>LX-CeC23</t>
  </si>
  <si>
    <t>LX-CeC24</t>
  </si>
  <si>
    <t>LX-CeC25</t>
  </si>
  <si>
    <t>LX-CeC26</t>
  </si>
  <si>
    <t>LX-CeC27</t>
  </si>
  <si>
    <t>LX-CeC28</t>
  </si>
  <si>
    <t>LX-CeC29</t>
  </si>
  <si>
    <t>LX-CeC30</t>
  </si>
  <si>
    <t>SSCeC-1</t>
  </si>
  <si>
    <t>SSCeC-2</t>
  </si>
  <si>
    <t>SSCeC-3</t>
  </si>
  <si>
    <t>SSCeC-4</t>
  </si>
  <si>
    <t>SSCeC-5</t>
  </si>
  <si>
    <t>SSCeC-6</t>
  </si>
  <si>
    <t>SSCeC-7</t>
  </si>
  <si>
    <t>SSCeC-8</t>
  </si>
  <si>
    <t>SSCeC-9</t>
  </si>
  <si>
    <t>SSCeC-10</t>
  </si>
  <si>
    <t>GZCeC-1</t>
  </si>
  <si>
    <t>GZCeC-2</t>
  </si>
  <si>
    <t>GZCeC-3</t>
  </si>
  <si>
    <t>GZCeC-4</t>
  </si>
  <si>
    <t>GZCeC-5</t>
  </si>
  <si>
    <t>GZCeC-6</t>
  </si>
  <si>
    <t>GZCeC-7</t>
  </si>
  <si>
    <t>GZCeC-8</t>
  </si>
  <si>
    <t>GZCeC-9</t>
  </si>
  <si>
    <t>GZCeC-10</t>
  </si>
  <si>
    <t>GZCeC-11</t>
  </si>
  <si>
    <t>GZCeC-12</t>
  </si>
  <si>
    <t>GZCeC-13</t>
  </si>
  <si>
    <t>GZCeC-14</t>
  </si>
  <si>
    <t>GZCeC-15</t>
  </si>
  <si>
    <t>GZCeC-16</t>
  </si>
  <si>
    <t>GZCeC-17</t>
  </si>
  <si>
    <t>GZCeC-18</t>
  </si>
  <si>
    <t>GZCeC-19</t>
  </si>
  <si>
    <t>GZCeC-20</t>
  </si>
  <si>
    <t>GZCeC-22</t>
  </si>
  <si>
    <t>GZCeC-23</t>
  </si>
  <si>
    <t>GZCeC-24</t>
  </si>
  <si>
    <t>GZCeC-25</t>
  </si>
  <si>
    <t>GZCeC-26</t>
  </si>
  <si>
    <t>GZCeC-27</t>
  </si>
  <si>
    <t>GZCeC-28</t>
  </si>
  <si>
    <t>GZCeC-29</t>
  </si>
  <si>
    <t>GZCeC-30</t>
  </si>
  <si>
    <t>HEBCeC-1</t>
  </si>
  <si>
    <t>HEBCeC-2</t>
  </si>
  <si>
    <t>HEBCeC-3</t>
  </si>
  <si>
    <t>HEBCeC-4</t>
  </si>
  <si>
    <t>HEBCeC-5</t>
  </si>
  <si>
    <t>HEBCeC-6</t>
  </si>
  <si>
    <t>HEBCeC-7</t>
  </si>
  <si>
    <t>HEBCeC-8</t>
  </si>
  <si>
    <t>HEBCeC-9</t>
  </si>
  <si>
    <t>HEBCeC-10</t>
  </si>
  <si>
    <t>HEBCeC-11</t>
  </si>
  <si>
    <t>HEBCeC-12</t>
  </si>
  <si>
    <t>HEBCeC-13</t>
  </si>
  <si>
    <t>HEBCeC-14</t>
  </si>
  <si>
    <t>HEBCeC-15</t>
  </si>
  <si>
    <t>HEBCeC-17</t>
  </si>
  <si>
    <t>HEBCeC-18</t>
  </si>
  <si>
    <t>HEBCeC-19</t>
  </si>
  <si>
    <t>HEBCeC-20</t>
  </si>
  <si>
    <t>HEBCeC-21</t>
  </si>
  <si>
    <t>HEBCeC-22</t>
  </si>
  <si>
    <t>HEBCeC-23</t>
  </si>
  <si>
    <t>HEBCeC-24</t>
  </si>
  <si>
    <t>HEBCeC-25</t>
  </si>
  <si>
    <t>HEBCeC-26</t>
  </si>
  <si>
    <t>HEBCeC-27</t>
  </si>
  <si>
    <t>HEBCeC-28</t>
  </si>
  <si>
    <t>HEBCeC-29</t>
  </si>
  <si>
    <t>HEBCeC-30</t>
  </si>
  <si>
    <t>HEBCeC-31</t>
  </si>
  <si>
    <t>LX-HN(混合)</t>
    <phoneticPr fontId="2" type="noConversion"/>
  </si>
  <si>
    <t>PD3d CeC 6</t>
  </si>
  <si>
    <t>PD1d CeC 6</t>
  </si>
  <si>
    <t>DNA小片段</t>
  </si>
  <si>
    <t>PCR free文库</t>
  </si>
  <si>
    <t>16sV4-V5</t>
  </si>
  <si>
    <t>16S V3-V4</t>
  </si>
  <si>
    <t>ITS1</t>
  </si>
  <si>
    <t>GATGAATC</t>
  </si>
  <si>
    <t>GCCAAGAC</t>
  </si>
  <si>
    <t>AACGTGAT</t>
  </si>
  <si>
    <t>AAACATCG</t>
  </si>
  <si>
    <t>ATGCCTAA</t>
  </si>
  <si>
    <t>AGTACAAG</t>
  </si>
  <si>
    <t>CAGCGTTA</t>
  </si>
  <si>
    <t>GAGCTGAA</t>
  </si>
  <si>
    <t>TGGTGGTA</t>
  </si>
  <si>
    <t>HFDNA190226A0155-95</t>
  </si>
  <si>
    <t>HFDNA190226A0156-96</t>
  </si>
  <si>
    <t>HFDNA190226A0157-1</t>
  </si>
  <si>
    <t>HFDNA190226A0158-2</t>
  </si>
  <si>
    <t>HFDNA190226A0159-3</t>
  </si>
  <si>
    <t>FKDN190253888-1A</t>
  </si>
  <si>
    <t>FKDN190253889-1A</t>
  </si>
  <si>
    <t>FKDN190253890-1A</t>
  </si>
  <si>
    <t>FKDN190253891-1A</t>
  </si>
  <si>
    <t>HFMET190305A0476-87-124</t>
  </si>
  <si>
    <t>HFMET190305A0477-88-124</t>
  </si>
  <si>
    <t>HFMET190305A0478-89-124</t>
  </si>
  <si>
    <t>HFMET190305A0479-90-124</t>
  </si>
  <si>
    <t>HFMET190305A0480-91-124</t>
  </si>
  <si>
    <t>HFMET190305A0481-92-124</t>
  </si>
  <si>
    <t>HFMET190305A0482-93-124</t>
  </si>
  <si>
    <t>HFMET190305A0483-94-124</t>
  </si>
  <si>
    <t>HFMET190305A0484-87-125</t>
  </si>
  <si>
    <t>HFMET190305A0485-88-125</t>
  </si>
  <si>
    <t>HFMET190305A0486-89-125</t>
  </si>
  <si>
    <t>HFMET190305A0487-90-125</t>
  </si>
  <si>
    <t>HFMET190305A0488-91-125</t>
  </si>
  <si>
    <t>HFMET190305A0489-92-125</t>
  </si>
  <si>
    <t>HFMET190305A0490-93-125</t>
  </si>
  <si>
    <t>HFMET190305A0491-94-125</t>
  </si>
  <si>
    <t>HFMET190305A0492-87-126</t>
  </si>
  <si>
    <t>HFMET190305A0493-88-126</t>
  </si>
  <si>
    <t>HFMET190305A0494-89-126</t>
  </si>
  <si>
    <t>HFMET190305A0495-90-126</t>
  </si>
  <si>
    <t>HFMET190305A0496-91-126</t>
  </si>
  <si>
    <t>HFMET190305A0497-92-126</t>
  </si>
  <si>
    <t>HFMET190305A0498-93-126</t>
  </si>
  <si>
    <t>HFMET190305A0499-94-126</t>
  </si>
  <si>
    <t>HFMET190305A0500-1-127</t>
  </si>
  <si>
    <t>HFMET190305A0501-1-128</t>
  </si>
  <si>
    <t>HFMET190306B502-1-129</t>
  </si>
  <si>
    <t>HFMET190305A0503-1-130</t>
  </si>
  <si>
    <t>HFMET190305A0504-1-131</t>
  </si>
  <si>
    <t>HFMET190305A0505-1-132</t>
  </si>
  <si>
    <t>HFMET190305A0506-1-133</t>
  </si>
  <si>
    <t>HFMET190305A0507-1-134</t>
  </si>
  <si>
    <t>HFMET190305A0508-16-127</t>
  </si>
  <si>
    <t>HFMET190305A0509-16-128</t>
  </si>
  <si>
    <t>HFMET190305A0510-16-129</t>
  </si>
  <si>
    <t>HFMET190305A0511-16-130</t>
  </si>
  <si>
    <t>HFMET190305A0512-16-131</t>
  </si>
  <si>
    <t>HFMET190305A0513-16-132</t>
  </si>
  <si>
    <t>HFMET190305A0514-16-133</t>
  </si>
  <si>
    <t>HFMET190305A0515-16-134</t>
  </si>
  <si>
    <t>HFMET190305A0516-17-127</t>
  </si>
  <si>
    <t>HFMET190305A0517-17-128</t>
  </si>
  <si>
    <t>HFMET190305A0518-17-129</t>
  </si>
  <si>
    <t>HFMET190305A0519-17-130</t>
  </si>
  <si>
    <t>HFMET190305A0520-17-131</t>
  </si>
  <si>
    <t>HFMET190305A0521-17-132</t>
  </si>
  <si>
    <t>HFMET190305A0522-17-133</t>
  </si>
  <si>
    <t>HFMET190305A0523-17-134</t>
  </si>
  <si>
    <t>HFMET190305A0524-93-123</t>
  </si>
  <si>
    <t>HFMET190305A0525-94-123</t>
  </si>
  <si>
    <t>HFMET190305A0526-110-125</t>
  </si>
  <si>
    <t>HFMET190301A0469-60-68</t>
  </si>
  <si>
    <t>HFMET190301A0470-61-68</t>
  </si>
  <si>
    <t>HFMET190301A0471-62-68</t>
  </si>
  <si>
    <t>HFMET190301A0472-63-68</t>
  </si>
  <si>
    <t>HFMET190301A0457-90-123</t>
  </si>
  <si>
    <t>HFMET190301A0458-91-123</t>
  </si>
  <si>
    <t>HFMET190301A0459-92-123</t>
  </si>
  <si>
    <t>HFMET190301A0463-57-83</t>
  </si>
  <si>
    <t>HFMET190301A0464-58-83</t>
  </si>
  <si>
    <t>HFMET190301A0465-59-68</t>
  </si>
  <si>
    <t>HFMET190123A0156-109-114</t>
  </si>
  <si>
    <t>HFMET190123A0157-110-114</t>
  </si>
  <si>
    <t>HFMET190123A0158-95-119</t>
  </si>
  <si>
    <t>HFMET190123A0159-96-119</t>
  </si>
  <si>
    <t>HFMET190123A0160-97-119</t>
  </si>
  <si>
    <t>HFMET190123A0161-98-119</t>
  </si>
  <si>
    <t>HFMET190123A0162-99-119</t>
  </si>
  <si>
    <t>HFMET190301A0358-1-119</t>
  </si>
  <si>
    <t>HFMET190301A0359-16-119</t>
  </si>
  <si>
    <t>HFMET190301A0360-17-119</t>
  </si>
  <si>
    <t>HFMET190301A0361-21-119</t>
  </si>
  <si>
    <t>HFMET190301A0362-27-119</t>
  </si>
  <si>
    <t>HFMET190301A0363-84-119</t>
  </si>
  <si>
    <t>HFMET190301A0364-85-119</t>
  </si>
  <si>
    <t>HFMET190301A0365-86-119</t>
  </si>
  <si>
    <t>HFMET190301A0366-1-120</t>
  </si>
  <si>
    <t>HFMET190301A0367-16-120</t>
  </si>
  <si>
    <t>HFMET190301A0368-17-120</t>
  </si>
  <si>
    <t>HFMET190301A0369-21-120</t>
  </si>
  <si>
    <t>HFMET190301A0370-27-120</t>
  </si>
  <si>
    <t>HFMET190301A0371-84-120</t>
  </si>
  <si>
    <t>HFMET190301A0372-85-120</t>
  </si>
  <si>
    <t>HFMET190301A0373-86-120</t>
  </si>
  <si>
    <t>HFMET190301A0374-1-121</t>
  </si>
  <si>
    <t>HFMET190301A0375-16-121</t>
  </si>
  <si>
    <t>HFMET190301A0376-17-121</t>
  </si>
  <si>
    <t>HFMET190301A0377-21-121</t>
  </si>
  <si>
    <t>HFMET190301A0378-27-121</t>
  </si>
  <si>
    <t>HFMET190301A0379-84-121</t>
  </si>
  <si>
    <t>HFMET190301A0380-85-121</t>
  </si>
  <si>
    <t>HFMET190301A0381-86-121</t>
  </si>
  <si>
    <t>HFMET190301A0382-1-122</t>
  </si>
  <si>
    <t>HFMET190301A0383-16-122</t>
  </si>
  <si>
    <t>HFMET190301A0384-17-122</t>
  </si>
  <si>
    <t>HFMET190301A0385-21-122</t>
  </si>
  <si>
    <t>HFMET190301A0386-27-122</t>
  </si>
  <si>
    <t>HFMET190301A0387-84-122</t>
  </si>
  <si>
    <t>HFMET190301A0388-85-122</t>
  </si>
  <si>
    <t>HFMET190301A0389-86-122</t>
  </si>
  <si>
    <t>HFMET190301A0390-1-123</t>
  </si>
  <si>
    <t>HFMET190301A0391-16-123</t>
  </si>
  <si>
    <t>HFMET190301A0392-17-123</t>
  </si>
  <si>
    <t>HFMET190301A0393-21-123</t>
  </si>
  <si>
    <t>HFMET190301A0394-27-123</t>
  </si>
  <si>
    <t>HFMET190301A0395-84-123</t>
  </si>
  <si>
    <t>HFMET190301A0396-85-123</t>
  </si>
  <si>
    <t>HFMET190301A0397-86-123</t>
  </si>
  <si>
    <t>HFMET190301A0398-1-124</t>
  </si>
  <si>
    <t>HFMET190301A0399-16-124</t>
  </si>
  <si>
    <t>HFMET190301A0400-17-124</t>
  </si>
  <si>
    <t>HFMET190301A0401-21-124</t>
  </si>
  <si>
    <t>HFMET190301A0402-27-124</t>
  </si>
  <si>
    <t>HFMET190301A0403-84-124</t>
  </si>
  <si>
    <t>HFMET190301A0404-85-124</t>
  </si>
  <si>
    <t>HFMET190301A0405-86-124</t>
  </si>
  <si>
    <t>HFMET190301A0406-1-125</t>
  </si>
  <si>
    <t>HFMET190301A0407-16-125</t>
  </si>
  <si>
    <t>HFMET190301A0408-17-125</t>
  </si>
  <si>
    <t>HFMET190301A0409-21-125</t>
  </si>
  <si>
    <t>HFMET190301A0410-27-125</t>
  </si>
  <si>
    <t>HFMET190301A0411-84-125</t>
  </si>
  <si>
    <t>HFMET190301A0412-85-125</t>
  </si>
  <si>
    <t>HFMET190301A0413-86-125</t>
  </si>
  <si>
    <t>HFMET190301A0414-1-126</t>
  </si>
  <si>
    <t>HFMET190301A0415-16-126</t>
  </si>
  <si>
    <t>HFMET190301A0416-17-126</t>
  </si>
  <si>
    <t>HFMET190301A0417-21-126</t>
  </si>
  <si>
    <t>HFMET190301A0418-27-126</t>
  </si>
  <si>
    <t>HFMET190301A0419-84-126</t>
  </si>
  <si>
    <t>HFMET190301A0420-85-126</t>
  </si>
  <si>
    <t>HFMET190301A0421-86-126</t>
  </si>
  <si>
    <t>HFMET190301A0422-87-119</t>
  </si>
  <si>
    <t>HFMET190301A0423-88-119</t>
  </si>
  <si>
    <t>HFMET190301A0424-89-119</t>
  </si>
  <si>
    <t>HFMET190301A0425-90-119</t>
  </si>
  <si>
    <t>HFMET190301A0426-91-119</t>
  </si>
  <si>
    <t>HFMET190301A0427-92-119</t>
  </si>
  <si>
    <t>HFMET190301A0428-93-119</t>
  </si>
  <si>
    <t>HFMET190301A0429-94-119</t>
  </si>
  <si>
    <t>HFMET190301A0430-87-120</t>
  </si>
  <si>
    <t>HFMET190301A0431-88-120</t>
  </si>
  <si>
    <t>HFMET190301A0432-89-120</t>
  </si>
  <si>
    <t>HFMET190301A0433-90-120</t>
  </si>
  <si>
    <t>HFMET190301A0434-91-120</t>
  </si>
  <si>
    <t>HFMET190301A0435-92-120</t>
  </si>
  <si>
    <t>HFMET190301A0436-93-120</t>
  </si>
  <si>
    <t>HFMET190301A0437-94-120</t>
  </si>
  <si>
    <t>HFMET190301A0438-87-121</t>
  </si>
  <si>
    <t>HFMET190301A0439-88-121</t>
  </si>
  <si>
    <t>HFMET190301A0440-89-121</t>
  </si>
  <si>
    <t>HFMET190301A0441-90-121</t>
  </si>
  <si>
    <t>HFMET190301A0442-91-121</t>
  </si>
  <si>
    <t>HFMET190301A0443-92-121</t>
  </si>
  <si>
    <t>HFMET190301A0444-93-121</t>
  </si>
  <si>
    <t>HFMET190301A0445-94-121</t>
  </si>
  <si>
    <t>HFMET190301A0446-87-122</t>
  </si>
  <si>
    <t>HFMET190301A0447-88-122</t>
  </si>
  <si>
    <t>HFMET190301A0448-89-122</t>
  </si>
  <si>
    <t>HFMET190301A0449-90-122</t>
  </si>
  <si>
    <t>HFMET190301A0450-91-122</t>
  </si>
  <si>
    <t>HFMET190301A0451-92-122</t>
  </si>
  <si>
    <t>HFMET190301A0452-93-122</t>
  </si>
  <si>
    <t>HFMET190301A0453-94-122</t>
  </si>
  <si>
    <t>HFMET190301A0454-87-123</t>
  </si>
  <si>
    <t>HFMET190301A0455-88-123</t>
  </si>
  <si>
    <t>HFMET190301A0456-89-123</t>
  </si>
  <si>
    <t>HFMET181123A2581-17-133</t>
    <phoneticPr fontId="2" type="noConversion"/>
  </si>
  <si>
    <t>HFMET190128A0285-93-114</t>
  </si>
  <si>
    <t>HFMET190128A0277-91-114</t>
  </si>
  <si>
    <t>浓度</t>
    <phoneticPr fontId="2" type="noConversion"/>
  </si>
  <si>
    <t>GCCGCATG</t>
  </si>
  <si>
    <t>CACGGCGA</t>
  </si>
  <si>
    <t>AGGCAGAC</t>
  </si>
  <si>
    <t>AACAGTAA</t>
  </si>
  <si>
    <t>TCTATAAG</t>
  </si>
  <si>
    <t>CTCCACGC</t>
  </si>
  <si>
    <t>GGTAATTA</t>
  </si>
  <si>
    <t>TAGGTTGT</t>
  </si>
  <si>
    <t>CTAATCCG</t>
  </si>
  <si>
    <t>GCGAGGCC</t>
  </si>
  <si>
    <t>AATCGCTT</t>
  </si>
  <si>
    <t>TCCTCACT</t>
  </si>
  <si>
    <t>GTCCTACG</t>
  </si>
  <si>
    <t>GCTTACGA</t>
  </si>
  <si>
    <t>TCGGCGAT</t>
  </si>
  <si>
    <t>GAATTCCA</t>
  </si>
  <si>
    <t>CGCCGCTG</t>
  </si>
  <si>
    <t>ATGCCTGC</t>
  </si>
  <si>
    <t>ACAGAGTG</t>
  </si>
  <si>
    <t>检测方法</t>
    <phoneticPr fontId="2" type="noConversion"/>
  </si>
  <si>
    <t>QSEP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</si>
</sst>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[$-409]yyyy/m/d\ h:mm\ "/>
  </numFmts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新宋体"/>
      <family val="3"/>
      <charset val="134"/>
    </font>
    <font>
      <sz val="9"/>
      <color theme="1"/>
      <name val="新宋体"/>
      <family val="3"/>
      <charset val="134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6" fontId="3" fillId="0" borderId="0"/>
    <xf numFmtId="0" fontId="6" fillId="0" borderId="0">
      <alignment vertical="center"/>
    </xf>
    <xf numFmtId="0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8" fillId="0" borderId="1" xfId="2" applyNumberFormat="1" applyFont="1" applyBorder="1" applyAlignment="1">
      <alignment horizontal="left" vertical="center" wrapText="1"/>
    </xf>
    <xf numFmtId="49" fontId="8" fillId="3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 applyAlignment="1">
      <alignment horizontal="center"/>
    </xf>
    <xf numFmtId="0" fontId="8" fillId="4" borderId="1" xfId="2" applyFont="1" applyFill="1" applyBorder="1" applyAlignment="1">
      <alignment horizontal="left" vertical="center" wrapText="1"/>
    </xf>
    <xf numFmtId="177" fontId="8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4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4">
    <cellStyle name="Normal_tmc program 2003may24 (Excel 5.0)" xfId="1" xr:uid="{00000000-0005-0000-0000-000000000000}"/>
    <cellStyle name="常规" xfId="0" builtinId="0"/>
    <cellStyle name="常规 2" xfId="3" xr:uid="{00000000-0005-0000-0000-000002000000}"/>
    <cellStyle name="常规 3" xfId="2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6%20Meta&#25991;&#24211;&#36136;&#26816;&#32467;&#26524;&#27719;&#2463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文库质检结果汇总表"/>
      <sheetName val="定制化项目质检结果汇总表"/>
      <sheetName val="待上机文库"/>
      <sheetName val="1"/>
    </sheetNames>
    <sheetDataSet>
      <sheetData sheetId="0">
        <row r="1936">
          <cell r="E1936" t="str">
            <v>HFMET181115A2141-1-125</v>
          </cell>
          <cell r="F1936" t="str">
            <v>Meta 48，D09</v>
          </cell>
          <cell r="G1936">
            <v>20</v>
          </cell>
          <cell r="H1936" t="str">
            <v>口腔牙周液</v>
          </cell>
          <cell r="I1936">
            <v>587</v>
          </cell>
          <cell r="J1936">
            <v>9.84</v>
          </cell>
          <cell r="K1936">
            <v>24.63</v>
          </cell>
          <cell r="L1936" t="str">
            <v>合格</v>
          </cell>
          <cell r="M1936" t="str">
            <v>丁梅/王丹丹</v>
          </cell>
          <cell r="N1936">
            <v>20181115</v>
          </cell>
          <cell r="O1936" t="str">
            <v>Qsep 100</v>
          </cell>
        </row>
        <row r="1937">
          <cell r="E1937" t="str">
            <v>HFMET181115A2142-16-125</v>
          </cell>
          <cell r="F1937" t="str">
            <v>Meta 48，D10</v>
          </cell>
          <cell r="G1937">
            <v>20</v>
          </cell>
          <cell r="H1937" t="str">
            <v>口腔牙周液</v>
          </cell>
          <cell r="I1937">
            <v>592</v>
          </cell>
          <cell r="J1937">
            <v>7.82</v>
          </cell>
          <cell r="K1937">
            <v>19.32</v>
          </cell>
          <cell r="L1937" t="str">
            <v>合格</v>
          </cell>
          <cell r="M1937" t="str">
            <v>丁梅/王丹丹</v>
          </cell>
          <cell r="N1937">
            <v>20181115</v>
          </cell>
          <cell r="O1937" t="str">
            <v>Qsep 100</v>
          </cell>
        </row>
        <row r="1938">
          <cell r="E1938" t="str">
            <v>HFMET181115A2143-17-125</v>
          </cell>
          <cell r="F1938" t="str">
            <v>Meta 48，D11</v>
          </cell>
          <cell r="G1938">
            <v>20</v>
          </cell>
          <cell r="H1938" t="str">
            <v>口腔牙周液</v>
          </cell>
          <cell r="I1938">
            <v>608</v>
          </cell>
          <cell r="J1938">
            <v>5.23</v>
          </cell>
          <cell r="K1938">
            <v>12.66</v>
          </cell>
          <cell r="L1938" t="str">
            <v>合格</v>
          </cell>
          <cell r="M1938" t="str">
            <v>丁梅/王丹丹</v>
          </cell>
          <cell r="N1938">
            <v>20181115</v>
          </cell>
          <cell r="O1938" t="str">
            <v>Qsep 100</v>
          </cell>
        </row>
        <row r="1939">
          <cell r="E1939" t="str">
            <v>HFMET181115A2144-21-125</v>
          </cell>
          <cell r="F1939" t="str">
            <v>Meta 48，D12</v>
          </cell>
          <cell r="G1939">
            <v>20</v>
          </cell>
          <cell r="H1939" t="str">
            <v>口腔牙周液</v>
          </cell>
          <cell r="I1939">
            <v>603</v>
          </cell>
          <cell r="J1939">
            <v>7.9</v>
          </cell>
          <cell r="K1939">
            <v>19.13</v>
          </cell>
          <cell r="L1939" t="str">
            <v>合格</v>
          </cell>
          <cell r="M1939" t="str">
            <v>丁梅/王丹丹</v>
          </cell>
          <cell r="N1939">
            <v>20181115</v>
          </cell>
          <cell r="O1939" t="str">
            <v>Qsep 100</v>
          </cell>
        </row>
        <row r="1940">
          <cell r="E1940" t="str">
            <v>HFMET181115A2145-27-125</v>
          </cell>
          <cell r="F1940" t="str">
            <v>Meta 48，E01</v>
          </cell>
          <cell r="G1940">
            <v>20</v>
          </cell>
          <cell r="H1940" t="str">
            <v>羊瘤胃</v>
          </cell>
          <cell r="I1940">
            <v>605</v>
          </cell>
          <cell r="J1940" t="str">
            <v>1.36</v>
          </cell>
          <cell r="K1940" t="str">
            <v>3.30</v>
          </cell>
          <cell r="L1940" t="str">
            <v>合格</v>
          </cell>
          <cell r="M1940" t="str">
            <v>丁梅/王丹丹</v>
          </cell>
          <cell r="N1940">
            <v>20181115</v>
          </cell>
          <cell r="O1940" t="str">
            <v>Q Sep100</v>
          </cell>
        </row>
        <row r="1941">
          <cell r="E1941" t="str">
            <v>HFMET181115A2146-84-125</v>
          </cell>
          <cell r="F1941" t="str">
            <v>Meta 48，E02</v>
          </cell>
          <cell r="G1941">
            <v>20</v>
          </cell>
          <cell r="H1941" t="str">
            <v>羊瘤胃</v>
          </cell>
          <cell r="I1941">
            <v>593</v>
          </cell>
          <cell r="J1941" t="str">
            <v>5.79</v>
          </cell>
          <cell r="K1941" t="str">
            <v>14.47</v>
          </cell>
          <cell r="L1941" t="str">
            <v>合格</v>
          </cell>
          <cell r="M1941" t="str">
            <v>丁梅/王丹丹</v>
          </cell>
          <cell r="N1941">
            <v>20181115</v>
          </cell>
          <cell r="O1941" t="str">
            <v>Q Sep100</v>
          </cell>
        </row>
        <row r="1942">
          <cell r="E1942" t="str">
            <v>HFMET181115A2147-85-125</v>
          </cell>
          <cell r="F1942" t="str">
            <v>Meta 48，E03</v>
          </cell>
          <cell r="G1942">
            <v>20</v>
          </cell>
          <cell r="H1942" t="str">
            <v>羊瘤胃</v>
          </cell>
          <cell r="I1942" t="str">
            <v>无目的峰</v>
          </cell>
          <cell r="J1942" t="str">
            <v>0.14</v>
          </cell>
          <cell r="K1942" t="str">
            <v>0.33</v>
          </cell>
          <cell r="L1942" t="str">
            <v>不合格</v>
          </cell>
          <cell r="M1942" t="str">
            <v>丁梅/王丹丹</v>
          </cell>
          <cell r="N1942">
            <v>20181115</v>
          </cell>
          <cell r="O1942" t="str">
            <v>Qsep 100</v>
          </cell>
        </row>
        <row r="1943">
          <cell r="E1943" t="str">
            <v>HFMET181115A2148-86-125</v>
          </cell>
          <cell r="F1943" t="str">
            <v>Meta 48，E04</v>
          </cell>
          <cell r="G1943">
            <v>20</v>
          </cell>
          <cell r="H1943" t="str">
            <v>羊瘤胃</v>
          </cell>
          <cell r="I1943">
            <v>603</v>
          </cell>
          <cell r="J1943" t="str">
            <v>5.67</v>
          </cell>
          <cell r="K1943" t="str">
            <v>13.81</v>
          </cell>
          <cell r="L1943" t="str">
            <v>合格</v>
          </cell>
          <cell r="M1943" t="str">
            <v>丁梅/王丹丹</v>
          </cell>
          <cell r="N1943">
            <v>20181115</v>
          </cell>
          <cell r="O1943" t="str">
            <v>Qsep 100</v>
          </cell>
        </row>
        <row r="1944">
          <cell r="E1944" t="str">
            <v>HFMET181115A2149-1-126</v>
          </cell>
          <cell r="F1944" t="str">
            <v>Meta 48，E05</v>
          </cell>
          <cell r="G1944">
            <v>20</v>
          </cell>
          <cell r="H1944" t="str">
            <v>羊瘤胃</v>
          </cell>
          <cell r="I1944">
            <v>603</v>
          </cell>
          <cell r="J1944" t="str">
            <v>5.11</v>
          </cell>
          <cell r="K1944" t="str">
            <v>12.33</v>
          </cell>
          <cell r="L1944" t="str">
            <v>合格</v>
          </cell>
          <cell r="M1944" t="str">
            <v>丁梅/王丹丹</v>
          </cell>
          <cell r="N1944">
            <v>20181115</v>
          </cell>
          <cell r="O1944" t="str">
            <v>Qsep 100</v>
          </cell>
        </row>
        <row r="1945">
          <cell r="E1945" t="str">
            <v>HFMET181115A2150-16-126</v>
          </cell>
          <cell r="F1945" t="str">
            <v>Meta 48，E06</v>
          </cell>
          <cell r="G1945">
            <v>20</v>
          </cell>
          <cell r="H1945" t="str">
            <v>羊瘤胃</v>
          </cell>
          <cell r="I1945">
            <v>589</v>
          </cell>
          <cell r="J1945" t="str">
            <v>12.18</v>
          </cell>
          <cell r="K1945" t="str">
            <v>30.26</v>
          </cell>
          <cell r="L1945" t="str">
            <v>合格</v>
          </cell>
          <cell r="M1945" t="str">
            <v>丁梅/王丹丹</v>
          </cell>
          <cell r="N1945">
            <v>20181115</v>
          </cell>
          <cell r="O1945" t="str">
            <v>Qsep 100</v>
          </cell>
        </row>
        <row r="1946">
          <cell r="E1946" t="str">
            <v>HFMET181115A2151-17-126</v>
          </cell>
          <cell r="F1946" t="str">
            <v>Meta 48，E07</v>
          </cell>
          <cell r="G1946">
            <v>20</v>
          </cell>
          <cell r="H1946" t="str">
            <v>羊瘤胃</v>
          </cell>
          <cell r="I1946">
            <v>599</v>
          </cell>
          <cell r="J1946" t="str">
            <v>6.56</v>
          </cell>
          <cell r="K1946" t="str">
            <v>16.02</v>
          </cell>
          <cell r="L1946" t="str">
            <v>合格</v>
          </cell>
          <cell r="M1946" t="str">
            <v>丁梅/王丹丹</v>
          </cell>
          <cell r="N1946">
            <v>20181115</v>
          </cell>
          <cell r="O1946" t="str">
            <v>Q Sep100</v>
          </cell>
        </row>
        <row r="1947">
          <cell r="E1947" t="str">
            <v>HFMET181115A2152-21-126</v>
          </cell>
          <cell r="F1947" t="str">
            <v>Meta 48，E08</v>
          </cell>
          <cell r="G1947">
            <v>20</v>
          </cell>
          <cell r="H1947" t="str">
            <v>羊瘤胃</v>
          </cell>
          <cell r="I1947">
            <v>594</v>
          </cell>
          <cell r="J1947" t="str">
            <v>8.50</v>
          </cell>
          <cell r="K1947" t="str">
            <v>20.80</v>
          </cell>
          <cell r="L1947" t="str">
            <v>合格</v>
          </cell>
          <cell r="M1947" t="str">
            <v>丁梅/王丹丹</v>
          </cell>
          <cell r="N1947">
            <v>20181115</v>
          </cell>
          <cell r="O1947" t="str">
            <v>Q Sep100</v>
          </cell>
        </row>
        <row r="1948">
          <cell r="E1948" t="str">
            <v>HFMET181115A2153-27-126</v>
          </cell>
          <cell r="F1948" t="str">
            <v>Meta 48，E09</v>
          </cell>
          <cell r="G1948">
            <v>20</v>
          </cell>
          <cell r="H1948" t="str">
            <v>羊瘤胃</v>
          </cell>
          <cell r="I1948">
            <v>596</v>
          </cell>
          <cell r="J1948" t="str">
            <v>6.36</v>
          </cell>
          <cell r="K1948" t="str">
            <v>15.63</v>
          </cell>
          <cell r="L1948" t="str">
            <v>合格</v>
          </cell>
          <cell r="M1948" t="str">
            <v>丁梅/王丹丹</v>
          </cell>
          <cell r="N1948">
            <v>20181115</v>
          </cell>
          <cell r="O1948" t="str">
            <v>Qsep 100</v>
          </cell>
        </row>
        <row r="1949">
          <cell r="E1949" t="str">
            <v>HFMET181115A2154-84-126</v>
          </cell>
          <cell r="F1949" t="str">
            <v>Meta 48，E10</v>
          </cell>
          <cell r="G1949">
            <v>20</v>
          </cell>
          <cell r="H1949" t="str">
            <v>羊瘤胃</v>
          </cell>
          <cell r="I1949">
            <v>598</v>
          </cell>
          <cell r="J1949" t="str">
            <v>5.74</v>
          </cell>
          <cell r="K1949" t="str">
            <v>14.10</v>
          </cell>
          <cell r="L1949" t="str">
            <v>合格</v>
          </cell>
          <cell r="M1949" t="str">
            <v>丁梅/王丹丹</v>
          </cell>
          <cell r="N1949">
            <v>20181115</v>
          </cell>
          <cell r="O1949" t="str">
            <v>Qsep 100</v>
          </cell>
        </row>
        <row r="1950">
          <cell r="E1950" t="str">
            <v>HFMET181115A2155-85-126</v>
          </cell>
          <cell r="F1950" t="str">
            <v>Meta 48，E11</v>
          </cell>
          <cell r="G1950">
            <v>20</v>
          </cell>
          <cell r="H1950" t="str">
            <v>羊瘤胃</v>
          </cell>
          <cell r="I1950">
            <v>599</v>
          </cell>
          <cell r="J1950" t="str">
            <v>5.92</v>
          </cell>
          <cell r="K1950" t="str">
            <v>14.53</v>
          </cell>
          <cell r="L1950" t="str">
            <v>合格</v>
          </cell>
          <cell r="M1950" t="str">
            <v>丁梅/王丹丹</v>
          </cell>
          <cell r="N1950">
            <v>20181115</v>
          </cell>
          <cell r="O1950" t="str">
            <v>Qsep 100</v>
          </cell>
        </row>
        <row r="1951">
          <cell r="E1951" t="str">
            <v>HFMET181115A2156-86-126</v>
          </cell>
          <cell r="F1951" t="str">
            <v>Meta 48，E12</v>
          </cell>
          <cell r="G1951">
            <v>20</v>
          </cell>
          <cell r="H1951" t="str">
            <v>羊瘤胃</v>
          </cell>
          <cell r="I1951">
            <v>613</v>
          </cell>
          <cell r="J1951" t="str">
            <v>1.07</v>
          </cell>
          <cell r="K1951" t="str">
            <v>2.58</v>
          </cell>
          <cell r="L1951" t="str">
            <v>合格</v>
          </cell>
          <cell r="M1951" t="str">
            <v>丁梅/王丹丹</v>
          </cell>
          <cell r="N1951">
            <v>20181115</v>
          </cell>
          <cell r="O1951" t="str">
            <v>Qsep 100</v>
          </cell>
        </row>
        <row r="1952">
          <cell r="E1952" t="str">
            <v>HFMET181115A2157-1-127</v>
          </cell>
          <cell r="F1952" t="str">
            <v>Meta 48，F01</v>
          </cell>
          <cell r="G1952">
            <v>20</v>
          </cell>
          <cell r="H1952" t="str">
            <v>羊瘤胃</v>
          </cell>
          <cell r="I1952">
            <v>591</v>
          </cell>
          <cell r="J1952" t="str">
            <v>7.98</v>
          </cell>
          <cell r="K1952" t="str">
            <v>19.49</v>
          </cell>
          <cell r="L1952" t="str">
            <v>合格</v>
          </cell>
          <cell r="M1952" t="str">
            <v>丁梅/王丹丹</v>
          </cell>
          <cell r="N1952">
            <v>20181115</v>
          </cell>
          <cell r="O1952" t="str">
            <v>Q Sep100</v>
          </cell>
        </row>
        <row r="1953">
          <cell r="E1953" t="str">
            <v>HFMET181115A2158-16-127</v>
          </cell>
          <cell r="F1953" t="str">
            <v>Meta 48，F02</v>
          </cell>
          <cell r="G1953">
            <v>20</v>
          </cell>
          <cell r="H1953" t="str">
            <v>羊瘤胃</v>
          </cell>
          <cell r="I1953">
            <v>591</v>
          </cell>
          <cell r="J1953" t="str">
            <v>7.47</v>
          </cell>
          <cell r="K1953" t="str">
            <v>18.36</v>
          </cell>
          <cell r="L1953" t="str">
            <v>合格</v>
          </cell>
          <cell r="M1953" t="str">
            <v>丁梅/王丹丹</v>
          </cell>
          <cell r="N1953">
            <v>20181115</v>
          </cell>
          <cell r="O1953" t="str">
            <v>Q Sep100</v>
          </cell>
        </row>
        <row r="1954">
          <cell r="E1954" t="str">
            <v>HFMET181115A2159-17-127</v>
          </cell>
          <cell r="F1954" t="str">
            <v>Meta 48，F03</v>
          </cell>
          <cell r="G1954">
            <v>20</v>
          </cell>
          <cell r="H1954" t="str">
            <v>羊瘤胃</v>
          </cell>
          <cell r="I1954">
            <v>588</v>
          </cell>
          <cell r="J1954" t="str">
            <v>6.69</v>
          </cell>
          <cell r="K1954" t="str">
            <v>16.68</v>
          </cell>
          <cell r="L1954" t="str">
            <v>合格</v>
          </cell>
          <cell r="M1954" t="str">
            <v>丁梅/王丹丹</v>
          </cell>
          <cell r="N1954">
            <v>20181115</v>
          </cell>
          <cell r="O1954" t="str">
            <v>Qsep 100</v>
          </cell>
        </row>
        <row r="1955">
          <cell r="E1955" t="str">
            <v>HFMET181115A2160-21-127</v>
          </cell>
          <cell r="F1955" t="str">
            <v>Meta 48，F04</v>
          </cell>
          <cell r="G1955">
            <v>20</v>
          </cell>
          <cell r="H1955" t="str">
            <v>羊瘤胃</v>
          </cell>
          <cell r="I1955">
            <v>594</v>
          </cell>
          <cell r="J1955" t="str">
            <v>6.59</v>
          </cell>
          <cell r="K1955" t="str">
            <v>16.07</v>
          </cell>
          <cell r="L1955" t="str">
            <v>合格</v>
          </cell>
          <cell r="M1955" t="str">
            <v>丁梅/王丹丹</v>
          </cell>
          <cell r="N1955">
            <v>20181115</v>
          </cell>
          <cell r="O1955" t="str">
            <v>Qsep 100</v>
          </cell>
        </row>
        <row r="1956">
          <cell r="E1956" t="str">
            <v>HFMET181115A2161-27-127</v>
          </cell>
          <cell r="F1956" t="str">
            <v>Meta 48，F05</v>
          </cell>
          <cell r="G1956">
            <v>20</v>
          </cell>
          <cell r="H1956" t="str">
            <v>羊瘤胃</v>
          </cell>
          <cell r="I1956">
            <v>592</v>
          </cell>
          <cell r="J1956">
            <v>4.45</v>
          </cell>
          <cell r="K1956">
            <v>10.89</v>
          </cell>
          <cell r="L1956" t="str">
            <v>合格</v>
          </cell>
          <cell r="M1956" t="str">
            <v>丁梅/王丹丹</v>
          </cell>
          <cell r="N1956">
            <v>20181115</v>
          </cell>
          <cell r="O1956" t="str">
            <v>Qsep 100</v>
          </cell>
        </row>
        <row r="1957">
          <cell r="E1957" t="str">
            <v>HFMET181115A2162-84-127</v>
          </cell>
          <cell r="F1957" t="str">
            <v>Meta 48，F06</v>
          </cell>
          <cell r="G1957">
            <v>20</v>
          </cell>
          <cell r="H1957" t="str">
            <v>羊瘤胃</v>
          </cell>
          <cell r="I1957">
            <v>593</v>
          </cell>
          <cell r="J1957">
            <v>7.38</v>
          </cell>
          <cell r="K1957">
            <v>18.23</v>
          </cell>
          <cell r="L1957" t="str">
            <v>合格</v>
          </cell>
          <cell r="M1957" t="str">
            <v>丁梅/王丹丹</v>
          </cell>
          <cell r="N1957">
            <v>20181115</v>
          </cell>
          <cell r="O1957" t="str">
            <v>Qsep 100</v>
          </cell>
        </row>
        <row r="1958">
          <cell r="E1958" t="str">
            <v>HFMET181115A2163-85-127</v>
          </cell>
          <cell r="F1958" t="str">
            <v>Meta 48，F07</v>
          </cell>
          <cell r="G1958">
            <v>20</v>
          </cell>
          <cell r="H1958" t="str">
            <v>羊瘤胃</v>
          </cell>
          <cell r="I1958">
            <v>599</v>
          </cell>
          <cell r="J1958">
            <v>7.54</v>
          </cell>
          <cell r="K1958">
            <v>18.309999999999999</v>
          </cell>
          <cell r="L1958" t="str">
            <v>合格</v>
          </cell>
          <cell r="M1958" t="str">
            <v>丁梅/王丹丹</v>
          </cell>
          <cell r="N1958">
            <v>20181115</v>
          </cell>
          <cell r="O1958" t="str">
            <v>Q Sep100</v>
          </cell>
        </row>
        <row r="1959">
          <cell r="E1959" t="str">
            <v>HFMET181115A2164-86-127</v>
          </cell>
          <cell r="F1959" t="str">
            <v>Meta 48，F08</v>
          </cell>
          <cell r="G1959">
            <v>20</v>
          </cell>
          <cell r="H1959" t="str">
            <v>羊瘤胃</v>
          </cell>
          <cell r="I1959">
            <v>597</v>
          </cell>
          <cell r="J1959">
            <v>5.68</v>
          </cell>
          <cell r="K1959">
            <v>13.9</v>
          </cell>
          <cell r="L1959" t="str">
            <v>合格</v>
          </cell>
          <cell r="M1959" t="str">
            <v>丁梅/王丹丹</v>
          </cell>
          <cell r="N1959">
            <v>20181115</v>
          </cell>
          <cell r="O1959" t="str">
            <v>Q Sep100</v>
          </cell>
        </row>
        <row r="1960">
          <cell r="E1960" t="str">
            <v>HFMET181115A2165-1-128</v>
          </cell>
          <cell r="F1960" t="str">
            <v>Meta 48，F09</v>
          </cell>
          <cell r="G1960">
            <v>20</v>
          </cell>
          <cell r="H1960" t="str">
            <v>羊瘤胃</v>
          </cell>
          <cell r="I1960">
            <v>595</v>
          </cell>
          <cell r="J1960">
            <v>6.44</v>
          </cell>
          <cell r="K1960">
            <v>15.74</v>
          </cell>
          <cell r="L1960" t="str">
            <v>合格</v>
          </cell>
          <cell r="M1960" t="str">
            <v>丁梅/王丹丹</v>
          </cell>
          <cell r="N1960">
            <v>20181115</v>
          </cell>
          <cell r="O1960" t="str">
            <v>Qsep 100</v>
          </cell>
        </row>
        <row r="1961">
          <cell r="E1961" t="str">
            <v>HFMET181115A2166-16-128</v>
          </cell>
          <cell r="F1961" t="str">
            <v>Meta 48，F10</v>
          </cell>
          <cell r="G1961">
            <v>20</v>
          </cell>
          <cell r="H1961" t="str">
            <v>羊瘤胃</v>
          </cell>
          <cell r="I1961">
            <v>593</v>
          </cell>
          <cell r="J1961">
            <v>6.61</v>
          </cell>
          <cell r="K1961">
            <v>16.170000000000002</v>
          </cell>
          <cell r="L1961" t="str">
            <v>合格</v>
          </cell>
          <cell r="M1961" t="str">
            <v>丁梅/王丹丹</v>
          </cell>
          <cell r="N1961">
            <v>20181115</v>
          </cell>
          <cell r="O1961" t="str">
            <v>Qsep 100</v>
          </cell>
        </row>
        <row r="1962">
          <cell r="E1962" t="str">
            <v>HFMET181115A2167-17-128</v>
          </cell>
          <cell r="F1962" t="str">
            <v>Meta 48，F11</v>
          </cell>
          <cell r="G1962">
            <v>20</v>
          </cell>
          <cell r="H1962" t="str">
            <v>羊瘤胃</v>
          </cell>
          <cell r="I1962">
            <v>596</v>
          </cell>
          <cell r="J1962">
            <v>6.15</v>
          </cell>
          <cell r="K1962">
            <v>15.08</v>
          </cell>
          <cell r="L1962" t="str">
            <v>合格</v>
          </cell>
          <cell r="M1962" t="str">
            <v>丁梅/王丹丹</v>
          </cell>
          <cell r="N1962">
            <v>20181115</v>
          </cell>
          <cell r="O1962" t="str">
            <v>Qsep 100</v>
          </cell>
        </row>
        <row r="1963">
          <cell r="E1963" t="str">
            <v>HFMET181115A2168-21-128</v>
          </cell>
          <cell r="F1963" t="str">
            <v>Meta 48，F12</v>
          </cell>
          <cell r="G1963">
            <v>20</v>
          </cell>
          <cell r="H1963" t="str">
            <v>羊瘤胃</v>
          </cell>
          <cell r="I1963">
            <v>591</v>
          </cell>
          <cell r="J1963">
            <v>8.6199999999999992</v>
          </cell>
          <cell r="K1963">
            <v>21.1</v>
          </cell>
          <cell r="L1963" t="str">
            <v>合格</v>
          </cell>
          <cell r="M1963" t="str">
            <v>丁梅/王丹丹</v>
          </cell>
          <cell r="N1963">
            <v>20181115</v>
          </cell>
          <cell r="O1963" t="str">
            <v>Qsep 100</v>
          </cell>
        </row>
        <row r="1964">
          <cell r="E1964" t="str">
            <v>HFMET181115A2169-27-128</v>
          </cell>
          <cell r="F1964" t="str">
            <v>Meta 48，G01</v>
          </cell>
          <cell r="G1964">
            <v>20</v>
          </cell>
          <cell r="H1964" t="str">
            <v>羊瘤胃</v>
          </cell>
          <cell r="I1964">
            <v>593</v>
          </cell>
          <cell r="J1964">
            <v>5.34</v>
          </cell>
          <cell r="K1964">
            <v>13.08</v>
          </cell>
          <cell r="L1964" t="str">
            <v>合格</v>
          </cell>
          <cell r="M1964" t="str">
            <v>丁梅/王丹丹</v>
          </cell>
          <cell r="N1964">
            <v>20181115</v>
          </cell>
          <cell r="O1964" t="str">
            <v>Q Sep100</v>
          </cell>
        </row>
        <row r="1965">
          <cell r="E1965" t="str">
            <v>HFMET181115A2170-84-128</v>
          </cell>
          <cell r="F1965" t="str">
            <v>Meta 48，G02</v>
          </cell>
          <cell r="G1965">
            <v>20</v>
          </cell>
          <cell r="H1965" t="str">
            <v>羊瘤胃</v>
          </cell>
          <cell r="I1965">
            <v>595</v>
          </cell>
          <cell r="J1965">
            <v>4.68</v>
          </cell>
          <cell r="K1965">
            <v>11.54</v>
          </cell>
          <cell r="L1965" t="str">
            <v>合格</v>
          </cell>
          <cell r="M1965" t="str">
            <v>丁梅/王丹丹</v>
          </cell>
          <cell r="N1965">
            <v>20181115</v>
          </cell>
          <cell r="O1965" t="str">
            <v>Q Sep100</v>
          </cell>
        </row>
        <row r="1966">
          <cell r="E1966" t="str">
            <v>HFMET181115A2171-85-128</v>
          </cell>
          <cell r="F1966" t="str">
            <v>Meta 48，G03</v>
          </cell>
          <cell r="G1966">
            <v>20</v>
          </cell>
          <cell r="H1966" t="str">
            <v>羊瘤胃</v>
          </cell>
          <cell r="I1966">
            <v>596</v>
          </cell>
          <cell r="J1966">
            <v>4.66</v>
          </cell>
          <cell r="K1966">
            <v>11.5</v>
          </cell>
          <cell r="L1966" t="str">
            <v>合格</v>
          </cell>
          <cell r="M1966" t="str">
            <v>丁梅/王丹丹</v>
          </cell>
          <cell r="N1966">
            <v>20181115</v>
          </cell>
          <cell r="O1966" t="str">
            <v>Qsep 100</v>
          </cell>
        </row>
        <row r="1967">
          <cell r="E1967" t="str">
            <v>HFMET181115A2172-86-128</v>
          </cell>
          <cell r="F1967" t="str">
            <v>Meta 48，G04</v>
          </cell>
          <cell r="G1967">
            <v>20</v>
          </cell>
          <cell r="H1967" t="str">
            <v>羊瘤胃</v>
          </cell>
          <cell r="I1967">
            <v>599</v>
          </cell>
          <cell r="J1967">
            <v>2.4500000000000002</v>
          </cell>
          <cell r="K1967">
            <v>6.04</v>
          </cell>
          <cell r="L1967" t="str">
            <v>合格</v>
          </cell>
          <cell r="M1967" t="str">
            <v>丁梅/王丹丹</v>
          </cell>
          <cell r="N1967">
            <v>20181115</v>
          </cell>
          <cell r="O1967" t="str">
            <v>Qsep 100</v>
          </cell>
        </row>
        <row r="1968">
          <cell r="E1968" t="str">
            <v>HFMET181115A2173-1-129</v>
          </cell>
          <cell r="F1968" t="str">
            <v>Meta 48，G05</v>
          </cell>
          <cell r="G1968">
            <v>20</v>
          </cell>
          <cell r="H1968" t="str">
            <v>羊瘤胃</v>
          </cell>
          <cell r="I1968">
            <v>599</v>
          </cell>
          <cell r="J1968">
            <v>4.91</v>
          </cell>
          <cell r="K1968">
            <v>11.97</v>
          </cell>
          <cell r="L1968" t="str">
            <v>合格</v>
          </cell>
          <cell r="M1968" t="str">
            <v>丁梅/王丹丹</v>
          </cell>
          <cell r="N1968">
            <v>20181115</v>
          </cell>
          <cell r="O1968" t="str">
            <v>Qsep 100</v>
          </cell>
        </row>
        <row r="1969">
          <cell r="E1969" t="str">
            <v>HFMET181115A2174-16-129</v>
          </cell>
          <cell r="F1969" t="str">
            <v>Meta 48，G06</v>
          </cell>
          <cell r="G1969">
            <v>20</v>
          </cell>
          <cell r="H1969" t="str">
            <v>羊瘤胃</v>
          </cell>
          <cell r="I1969">
            <v>607</v>
          </cell>
          <cell r="J1969">
            <v>0.97</v>
          </cell>
          <cell r="K1969">
            <v>2.38</v>
          </cell>
          <cell r="L1969" t="str">
            <v>不合格</v>
          </cell>
          <cell r="M1969" t="str">
            <v>丁梅/王丹丹</v>
          </cell>
          <cell r="N1969">
            <v>20181115</v>
          </cell>
          <cell r="O1969" t="str">
            <v>Qsep 100</v>
          </cell>
        </row>
        <row r="1970">
          <cell r="E1970" t="str">
            <v>HFMET181115A2175-17-129</v>
          </cell>
          <cell r="F1970" t="str">
            <v>Meta 48，G07</v>
          </cell>
          <cell r="G1970">
            <v>20</v>
          </cell>
          <cell r="H1970" t="str">
            <v>羊瘤胃</v>
          </cell>
          <cell r="I1970">
            <v>597</v>
          </cell>
          <cell r="J1970">
            <v>5.97</v>
          </cell>
          <cell r="K1970">
            <v>14.61</v>
          </cell>
          <cell r="L1970" t="str">
            <v>合格</v>
          </cell>
          <cell r="M1970" t="str">
            <v>丁梅/王丹丹</v>
          </cell>
          <cell r="N1970">
            <v>20181115</v>
          </cell>
          <cell r="O1970" t="str">
            <v>Q Sep100</v>
          </cell>
        </row>
        <row r="1971">
          <cell r="E1971" t="str">
            <v>HFMET181115A2176-21-129</v>
          </cell>
          <cell r="F1971" t="str">
            <v>Meta 48，G08</v>
          </cell>
          <cell r="G1971">
            <v>20</v>
          </cell>
          <cell r="H1971" t="str">
            <v>羊瘤胃</v>
          </cell>
          <cell r="I1971">
            <v>594</v>
          </cell>
          <cell r="J1971">
            <v>6.96</v>
          </cell>
          <cell r="K1971">
            <v>16.920000000000002</v>
          </cell>
          <cell r="L1971" t="str">
            <v>合格</v>
          </cell>
          <cell r="M1971" t="str">
            <v>丁梅/王丹丹</v>
          </cell>
          <cell r="N1971">
            <v>20181115</v>
          </cell>
          <cell r="O1971" t="str">
            <v>Q Sep100</v>
          </cell>
        </row>
        <row r="1972">
          <cell r="E1972" t="str">
            <v>HFMET181115A2177-27-129</v>
          </cell>
          <cell r="F1972" t="str">
            <v>Meta 48，G09</v>
          </cell>
          <cell r="G1972">
            <v>20</v>
          </cell>
          <cell r="H1972" t="str">
            <v>羊瘤胃</v>
          </cell>
          <cell r="I1972">
            <v>596</v>
          </cell>
          <cell r="J1972">
            <v>3.99</v>
          </cell>
          <cell r="K1972">
            <v>9.77</v>
          </cell>
          <cell r="L1972" t="str">
            <v>合格</v>
          </cell>
          <cell r="M1972" t="str">
            <v>丁梅/王丹丹</v>
          </cell>
          <cell r="N1972">
            <v>20181115</v>
          </cell>
          <cell r="O1972" t="str">
            <v>Qsep 100</v>
          </cell>
        </row>
        <row r="1973">
          <cell r="E1973" t="str">
            <v>HFMET181115A2178-84-129</v>
          </cell>
          <cell r="F1973" t="str">
            <v>Meta 48，G10</v>
          </cell>
          <cell r="G1973">
            <v>20</v>
          </cell>
          <cell r="H1973" t="str">
            <v>羊瘤胃</v>
          </cell>
          <cell r="I1973">
            <v>598</v>
          </cell>
          <cell r="J1973">
            <v>5.5</v>
          </cell>
          <cell r="K1973">
            <v>13.44</v>
          </cell>
          <cell r="L1973" t="str">
            <v>合格</v>
          </cell>
          <cell r="M1973" t="str">
            <v>丁梅/王丹丹</v>
          </cell>
          <cell r="N1973">
            <v>20181115</v>
          </cell>
          <cell r="O1973" t="str">
            <v>Qsep 100</v>
          </cell>
        </row>
        <row r="1974">
          <cell r="E1974" t="str">
            <v>HFMET181115A2179-85-129</v>
          </cell>
          <cell r="F1974" t="str">
            <v>Meta 48，G11</v>
          </cell>
          <cell r="G1974">
            <v>20</v>
          </cell>
          <cell r="H1974" t="str">
            <v>羊瘤胃</v>
          </cell>
          <cell r="I1974">
            <v>598</v>
          </cell>
          <cell r="J1974">
            <v>8.0500000000000007</v>
          </cell>
          <cell r="K1974">
            <v>19.48</v>
          </cell>
          <cell r="L1974" t="str">
            <v>合格</v>
          </cell>
          <cell r="M1974" t="str">
            <v>丁梅/王丹丹</v>
          </cell>
          <cell r="N1974">
            <v>20181115</v>
          </cell>
          <cell r="O1974" t="str">
            <v>Qsep 100</v>
          </cell>
        </row>
        <row r="1975">
          <cell r="E1975" t="str">
            <v>HFMET181115A2180-86-129</v>
          </cell>
          <cell r="F1975" t="str">
            <v>Meta 48，G12</v>
          </cell>
          <cell r="G1975">
            <v>20</v>
          </cell>
          <cell r="H1975" t="str">
            <v>羊瘤胃</v>
          </cell>
          <cell r="I1975">
            <v>604</v>
          </cell>
          <cell r="J1975">
            <v>3.96</v>
          </cell>
          <cell r="K1975">
            <v>9.6199999999999992</v>
          </cell>
          <cell r="L1975" t="str">
            <v>合格</v>
          </cell>
          <cell r="M1975" t="str">
            <v>丁梅/王丹丹</v>
          </cell>
          <cell r="N1975">
            <v>20181115</v>
          </cell>
          <cell r="O1975" t="str">
            <v>Qsep 100</v>
          </cell>
        </row>
        <row r="1976">
          <cell r="E1976" t="str">
            <v>NTC-85-129</v>
          </cell>
          <cell r="F1976" t="str">
            <v>Meta 48，H01</v>
          </cell>
          <cell r="G1976">
            <v>20</v>
          </cell>
          <cell r="I1976">
            <v>603</v>
          </cell>
          <cell r="J1976">
            <v>0.93</v>
          </cell>
          <cell r="K1976">
            <v>2.29</v>
          </cell>
          <cell r="L1976" t="str">
            <v>不合格</v>
          </cell>
          <cell r="M1976" t="str">
            <v>丁梅/王丹丹</v>
          </cell>
          <cell r="N1976">
            <v>20181115</v>
          </cell>
          <cell r="O1976" t="str">
            <v>Q Sep100</v>
          </cell>
        </row>
        <row r="1977">
          <cell r="E1977" t="str">
            <v>NTC-86-129</v>
          </cell>
          <cell r="F1977" t="str">
            <v>Meta 48，H02</v>
          </cell>
          <cell r="G1977">
            <v>20</v>
          </cell>
          <cell r="I1977">
            <v>605</v>
          </cell>
          <cell r="J1977">
            <v>0.76</v>
          </cell>
          <cell r="K1977">
            <v>1.88</v>
          </cell>
          <cell r="L1977" t="str">
            <v>不合格</v>
          </cell>
          <cell r="M1977" t="str">
            <v>丁梅/王丹丹</v>
          </cell>
          <cell r="N1977">
            <v>20181115</v>
          </cell>
          <cell r="O1977" t="str">
            <v>Q Sep100</v>
          </cell>
        </row>
        <row r="1978">
          <cell r="E1978" t="str">
            <v>HFMET181114A2113-59-76</v>
          </cell>
          <cell r="F1978" t="str">
            <v>Meta 48，B03</v>
          </cell>
          <cell r="G1978">
            <v>20</v>
          </cell>
          <cell r="H1978" t="str">
            <v>环境微生物</v>
          </cell>
          <cell r="I1978">
            <v>545</v>
          </cell>
          <cell r="J1978">
            <v>15.1</v>
          </cell>
          <cell r="K1978">
            <v>41.15</v>
          </cell>
          <cell r="L1978" t="str">
            <v>合格</v>
          </cell>
          <cell r="M1978" t="str">
            <v>王丹丹/朱绪涛</v>
          </cell>
          <cell r="N1978">
            <v>20181115</v>
          </cell>
          <cell r="O1978" t="str">
            <v>Q sep 20-1000bp</v>
          </cell>
        </row>
        <row r="1979">
          <cell r="E1979" t="str">
            <v>HFMET181114A2114-60-76</v>
          </cell>
          <cell r="F1979" t="str">
            <v>Meta 48，B04</v>
          </cell>
          <cell r="G1979">
            <v>20</v>
          </cell>
          <cell r="H1979" t="str">
            <v>环境微生物</v>
          </cell>
          <cell r="I1979">
            <v>541</v>
          </cell>
          <cell r="J1979">
            <v>20.170000000000002</v>
          </cell>
          <cell r="K1979">
            <v>54.44</v>
          </cell>
          <cell r="L1979" t="str">
            <v>合格</v>
          </cell>
          <cell r="M1979" t="str">
            <v>王丹丹/朱绪涛</v>
          </cell>
          <cell r="N1979">
            <v>20181115</v>
          </cell>
          <cell r="O1979" t="str">
            <v>Q sep 20-1000bp</v>
          </cell>
        </row>
        <row r="1980">
          <cell r="E1980" t="str">
            <v>HFMET181114A2115-61-76</v>
          </cell>
          <cell r="F1980" t="str">
            <v>Meta 48，B05</v>
          </cell>
          <cell r="G1980">
            <v>20</v>
          </cell>
          <cell r="H1980" t="str">
            <v>环境微生物</v>
          </cell>
          <cell r="I1980">
            <v>543</v>
          </cell>
          <cell r="J1980">
            <v>18.48</v>
          </cell>
          <cell r="K1980">
            <v>49.69</v>
          </cell>
          <cell r="L1980" t="str">
            <v>合格</v>
          </cell>
          <cell r="M1980" t="str">
            <v>王丹丹/朱绪涛</v>
          </cell>
          <cell r="N1980">
            <v>20181115</v>
          </cell>
          <cell r="O1980" t="str">
            <v>Q sep 20-1000bp</v>
          </cell>
        </row>
        <row r="1981">
          <cell r="E1981" t="str">
            <v>HFMET181114A2116-62-76</v>
          </cell>
          <cell r="F1981" t="str">
            <v>Meta 48，B06</v>
          </cell>
          <cell r="G1981">
            <v>20</v>
          </cell>
          <cell r="H1981" t="str">
            <v>环境微生物</v>
          </cell>
          <cell r="I1981">
            <v>539</v>
          </cell>
          <cell r="J1981">
            <v>24.58</v>
          </cell>
          <cell r="K1981">
            <v>66.03</v>
          </cell>
          <cell r="L1981" t="str">
            <v>合格</v>
          </cell>
          <cell r="M1981" t="str">
            <v>王丹丹/朱绪涛</v>
          </cell>
          <cell r="N1981">
            <v>20181115</v>
          </cell>
          <cell r="O1981" t="str">
            <v>Q sep 20-1000bp</v>
          </cell>
        </row>
        <row r="1982">
          <cell r="E1982" t="str">
            <v>HFMET181114A2117-63-76</v>
          </cell>
          <cell r="F1982" t="str">
            <v>Meta 48，B07</v>
          </cell>
          <cell r="G1982">
            <v>20</v>
          </cell>
          <cell r="H1982" t="str">
            <v>环境微生物</v>
          </cell>
          <cell r="I1982">
            <v>544</v>
          </cell>
          <cell r="J1982">
            <v>20.55</v>
          </cell>
          <cell r="K1982">
            <v>55.54</v>
          </cell>
          <cell r="L1982" t="str">
            <v>合格</v>
          </cell>
          <cell r="M1982" t="str">
            <v>王丹丹/朱绪涛</v>
          </cell>
          <cell r="N1982">
            <v>20181115</v>
          </cell>
          <cell r="O1982" t="str">
            <v>Q sep 20-1000bp</v>
          </cell>
        </row>
        <row r="1983">
          <cell r="E1983" t="str">
            <v>HFMET181114A2118-64-76</v>
          </cell>
          <cell r="F1983" t="str">
            <v>Meta 48，B08</v>
          </cell>
          <cell r="G1983">
            <v>20</v>
          </cell>
          <cell r="H1983" t="str">
            <v>环境微生物</v>
          </cell>
          <cell r="I1983">
            <v>540</v>
          </cell>
          <cell r="J1983">
            <v>24.32</v>
          </cell>
          <cell r="K1983">
            <v>65.48</v>
          </cell>
          <cell r="L1983" t="str">
            <v>合格</v>
          </cell>
          <cell r="M1983" t="str">
            <v>王丹丹/朱绪涛</v>
          </cell>
          <cell r="N1983">
            <v>20181115</v>
          </cell>
          <cell r="O1983" t="str">
            <v>Q sep 20-1000bp</v>
          </cell>
        </row>
        <row r="1984">
          <cell r="E1984" t="str">
            <v>HFMET181114A2119-65-76</v>
          </cell>
          <cell r="F1984" t="str">
            <v>Meta 48，B09</v>
          </cell>
          <cell r="G1984">
            <v>20</v>
          </cell>
          <cell r="H1984" t="str">
            <v>环境微生物</v>
          </cell>
          <cell r="I1984">
            <v>541</v>
          </cell>
          <cell r="J1984">
            <v>20.37</v>
          </cell>
          <cell r="K1984">
            <v>54.98</v>
          </cell>
          <cell r="L1984" t="str">
            <v>合格</v>
          </cell>
          <cell r="M1984" t="str">
            <v>王丹丹/朱绪涛</v>
          </cell>
          <cell r="N1984">
            <v>20181115</v>
          </cell>
          <cell r="O1984" t="str">
            <v>Q sep 20-1000bp</v>
          </cell>
        </row>
        <row r="1985">
          <cell r="E1985" t="str">
            <v>HFMET181114A2120-66-76</v>
          </cell>
          <cell r="F1985" t="str">
            <v>Meta 48，B10</v>
          </cell>
          <cell r="G1985">
            <v>20</v>
          </cell>
          <cell r="H1985" t="str">
            <v>环境微生物</v>
          </cell>
          <cell r="I1985">
            <v>543</v>
          </cell>
          <cell r="J1985">
            <v>21</v>
          </cell>
          <cell r="K1985">
            <v>56.69</v>
          </cell>
          <cell r="L1985" t="str">
            <v>合格</v>
          </cell>
          <cell r="M1985" t="str">
            <v>王丹丹/朱绪涛</v>
          </cell>
          <cell r="N1985">
            <v>20181115</v>
          </cell>
          <cell r="O1985" t="str">
            <v>Q sep 20-1000bp</v>
          </cell>
        </row>
        <row r="1986">
          <cell r="E1986" t="str">
            <v>HFMET181114A2121-59-77</v>
          </cell>
          <cell r="F1986" t="str">
            <v>Meta 48，B11</v>
          </cell>
          <cell r="G1986">
            <v>20</v>
          </cell>
          <cell r="H1986" t="str">
            <v>环境微生物</v>
          </cell>
          <cell r="I1986">
            <v>546</v>
          </cell>
          <cell r="J1986">
            <v>22.24</v>
          </cell>
          <cell r="K1986">
            <v>59.67</v>
          </cell>
          <cell r="L1986" t="str">
            <v>合格</v>
          </cell>
          <cell r="M1986" t="str">
            <v>王丹丹/朱绪涛</v>
          </cell>
          <cell r="N1986">
            <v>20181115</v>
          </cell>
          <cell r="O1986" t="str">
            <v>Q sep 20-1000bp</v>
          </cell>
        </row>
        <row r="1987">
          <cell r="E1987" t="str">
            <v>HFMET181114A2122-60-77</v>
          </cell>
          <cell r="F1987" t="str">
            <v>Meta 48，B12</v>
          </cell>
          <cell r="G1987">
            <v>20</v>
          </cell>
          <cell r="H1987" t="str">
            <v>环境微生物</v>
          </cell>
          <cell r="I1987">
            <v>546</v>
          </cell>
          <cell r="J1987">
            <v>17.510000000000002</v>
          </cell>
          <cell r="K1987">
            <v>47.13</v>
          </cell>
          <cell r="L1987" t="str">
            <v>合格</v>
          </cell>
          <cell r="M1987" t="str">
            <v>王丹丹/朱绪涛</v>
          </cell>
          <cell r="N1987">
            <v>20181115</v>
          </cell>
          <cell r="O1987" t="str">
            <v>Q sep 20-1000bp</v>
          </cell>
        </row>
        <row r="1988">
          <cell r="E1988" t="str">
            <v>HFMET181114A2123-61-77</v>
          </cell>
          <cell r="F1988" t="str">
            <v>Meta 48，C01</v>
          </cell>
          <cell r="G1988">
            <v>20</v>
          </cell>
          <cell r="H1988" t="str">
            <v>环境微生物</v>
          </cell>
          <cell r="I1988">
            <v>545</v>
          </cell>
          <cell r="J1988">
            <v>20.13</v>
          </cell>
          <cell r="K1988">
            <v>54.41</v>
          </cell>
          <cell r="L1988" t="str">
            <v>合格</v>
          </cell>
          <cell r="M1988" t="str">
            <v>王丹丹/朱绪涛</v>
          </cell>
          <cell r="N1988">
            <v>20181115</v>
          </cell>
          <cell r="O1988" t="str">
            <v>Q sep 20-1000bp</v>
          </cell>
        </row>
        <row r="1989">
          <cell r="E1989" t="str">
            <v>HFMET181114A2124-62-77</v>
          </cell>
          <cell r="F1989" t="str">
            <v>Meta 48，C02</v>
          </cell>
          <cell r="G1989">
            <v>20</v>
          </cell>
          <cell r="H1989" t="str">
            <v>环境微生物</v>
          </cell>
          <cell r="I1989">
            <v>535</v>
          </cell>
          <cell r="J1989">
            <v>24.02</v>
          </cell>
          <cell r="K1989">
            <v>65.98</v>
          </cell>
          <cell r="L1989" t="str">
            <v>合格</v>
          </cell>
          <cell r="M1989" t="str">
            <v>王丹丹/朱绪涛</v>
          </cell>
          <cell r="N1989">
            <v>20181115</v>
          </cell>
          <cell r="O1989" t="str">
            <v>Q sep 20-1000bp</v>
          </cell>
        </row>
        <row r="1990">
          <cell r="E1990" t="str">
            <v>HFMET181114A2125-63-77</v>
          </cell>
          <cell r="F1990" t="str">
            <v>Meta 48，C03</v>
          </cell>
          <cell r="G1990">
            <v>20</v>
          </cell>
          <cell r="H1990" t="str">
            <v>环境微生物</v>
          </cell>
          <cell r="I1990">
            <v>538</v>
          </cell>
          <cell r="J1990">
            <v>24.19</v>
          </cell>
          <cell r="K1990">
            <v>65.69</v>
          </cell>
          <cell r="L1990" t="str">
            <v>合格</v>
          </cell>
          <cell r="M1990" t="str">
            <v>王丹丹/朱绪涛</v>
          </cell>
          <cell r="N1990">
            <v>20181115</v>
          </cell>
          <cell r="O1990" t="str">
            <v>Q sep 20-1000bp</v>
          </cell>
        </row>
        <row r="1991">
          <cell r="E1991" t="str">
            <v>HFMET181114A2126-64-77</v>
          </cell>
          <cell r="F1991" t="str">
            <v>Meta 48，C04</v>
          </cell>
          <cell r="G1991">
            <v>20</v>
          </cell>
          <cell r="H1991" t="str">
            <v>环境微生物</v>
          </cell>
          <cell r="I1991">
            <v>558</v>
          </cell>
          <cell r="J1991">
            <v>3.16</v>
          </cell>
          <cell r="K1991">
            <v>8.73</v>
          </cell>
          <cell r="L1991" t="str">
            <v>合格</v>
          </cell>
          <cell r="M1991" t="str">
            <v>王丹丹/朱绪涛</v>
          </cell>
          <cell r="N1991">
            <v>20181115</v>
          </cell>
          <cell r="O1991" t="str">
            <v>Q sep 20-1000bp</v>
          </cell>
        </row>
        <row r="1992">
          <cell r="E1992" t="str">
            <v>HFMET181114A2127-65-77</v>
          </cell>
          <cell r="F1992" t="str">
            <v>Meta 48，C05</v>
          </cell>
          <cell r="G1992">
            <v>20</v>
          </cell>
          <cell r="H1992" t="str">
            <v>环境微生物</v>
          </cell>
          <cell r="I1992">
            <v>533</v>
          </cell>
          <cell r="J1992">
            <v>23.86</v>
          </cell>
          <cell r="K1992">
            <v>65.66</v>
          </cell>
          <cell r="L1992" t="str">
            <v>合格</v>
          </cell>
          <cell r="M1992" t="str">
            <v>王丹丹/朱绪涛</v>
          </cell>
          <cell r="N1992">
            <v>20181115</v>
          </cell>
          <cell r="O1992" t="str">
            <v>Q sep 20-1000bp</v>
          </cell>
        </row>
        <row r="1993">
          <cell r="E1993" t="str">
            <v>HFMET181114A2128-66-80</v>
          </cell>
          <cell r="F1993" t="str">
            <v>Meta 48，C06</v>
          </cell>
          <cell r="G1993">
            <v>20</v>
          </cell>
          <cell r="H1993" t="str">
            <v>环境微生物</v>
          </cell>
          <cell r="I1993">
            <v>534</v>
          </cell>
          <cell r="J1993">
            <v>22</v>
          </cell>
          <cell r="K1993">
            <v>60.21</v>
          </cell>
          <cell r="L1993" t="str">
            <v>合格</v>
          </cell>
          <cell r="M1993" t="str">
            <v>王丹丹/朱绪涛</v>
          </cell>
          <cell r="N1993">
            <v>20181115</v>
          </cell>
          <cell r="O1993" t="str">
            <v>Q sep 20-1000bp</v>
          </cell>
        </row>
        <row r="1994">
          <cell r="E1994" t="str">
            <v>HFMET181114A2129-59-81</v>
          </cell>
          <cell r="F1994" t="str">
            <v>Meta 48，C07</v>
          </cell>
          <cell r="G1994">
            <v>20</v>
          </cell>
          <cell r="H1994" t="str">
            <v>环境微生物</v>
          </cell>
          <cell r="I1994">
            <v>541</v>
          </cell>
          <cell r="J1994">
            <v>19.68</v>
          </cell>
          <cell r="K1994">
            <v>53.68</v>
          </cell>
          <cell r="L1994" t="str">
            <v>合格</v>
          </cell>
          <cell r="M1994" t="str">
            <v>王丹丹/朱绪涛</v>
          </cell>
          <cell r="N1994">
            <v>20181115</v>
          </cell>
          <cell r="O1994" t="str">
            <v>Q sep 20-1000bp</v>
          </cell>
        </row>
        <row r="1995">
          <cell r="E1995" t="str">
            <v>HFMET181114A2130-63-81</v>
          </cell>
          <cell r="F1995" t="str">
            <v>Meta 48，C08</v>
          </cell>
          <cell r="G1995">
            <v>20</v>
          </cell>
          <cell r="H1995" t="str">
            <v>环境微生物</v>
          </cell>
          <cell r="I1995">
            <v>537</v>
          </cell>
          <cell r="J1995">
            <v>21.93</v>
          </cell>
          <cell r="K1995">
            <v>59.96</v>
          </cell>
          <cell r="L1995" t="str">
            <v>合格</v>
          </cell>
          <cell r="M1995" t="str">
            <v>王丹丹/朱绪涛</v>
          </cell>
          <cell r="N1995">
            <v>20181115</v>
          </cell>
          <cell r="O1995" t="str">
            <v>Q sep 20-1000bp</v>
          </cell>
        </row>
        <row r="1996">
          <cell r="E1996" t="str">
            <v>HFMET181114A2131-64-81</v>
          </cell>
          <cell r="F1996" t="str">
            <v>Meta 48，C09</v>
          </cell>
          <cell r="G1996">
            <v>20</v>
          </cell>
          <cell r="H1996" t="str">
            <v>环境微生物</v>
          </cell>
          <cell r="I1996">
            <v>541</v>
          </cell>
          <cell r="J1996">
            <v>20.14</v>
          </cell>
          <cell r="K1996">
            <v>54.76</v>
          </cell>
          <cell r="L1996" t="str">
            <v>合格</v>
          </cell>
          <cell r="M1996" t="str">
            <v>王丹丹/朱绪涛</v>
          </cell>
          <cell r="N1996">
            <v>20181115</v>
          </cell>
          <cell r="O1996" t="str">
            <v>Q sep 20-1000bp</v>
          </cell>
        </row>
        <row r="1997">
          <cell r="E1997" t="str">
            <v>HFMET181114A2132-65-81</v>
          </cell>
          <cell r="F1997" t="str">
            <v>Meta 48，C10</v>
          </cell>
          <cell r="G1997">
            <v>20</v>
          </cell>
          <cell r="H1997" t="str">
            <v>环境微生物</v>
          </cell>
          <cell r="I1997">
            <v>534</v>
          </cell>
          <cell r="J1997">
            <v>20.09</v>
          </cell>
          <cell r="K1997">
            <v>55.36</v>
          </cell>
          <cell r="L1997" t="str">
            <v>合格</v>
          </cell>
          <cell r="M1997" t="str">
            <v>王丹丹/朱绪涛</v>
          </cell>
          <cell r="N1997">
            <v>20181115</v>
          </cell>
          <cell r="O1997" t="str">
            <v>Q sep 20-1000bp</v>
          </cell>
        </row>
        <row r="1998">
          <cell r="E1998" t="str">
            <v>HFMET181114A2133-66-81</v>
          </cell>
          <cell r="F1998" t="str">
            <v>Meta 48，C11</v>
          </cell>
          <cell r="G1998">
            <v>20</v>
          </cell>
          <cell r="H1998" t="str">
            <v>环境微生物</v>
          </cell>
          <cell r="I1998">
            <v>525</v>
          </cell>
          <cell r="J1998">
            <v>41.15</v>
          </cell>
          <cell r="K1998">
            <v>113.42</v>
          </cell>
          <cell r="L1998" t="str">
            <v>合格</v>
          </cell>
          <cell r="M1998" t="str">
            <v>王丹丹/朱绪涛</v>
          </cell>
          <cell r="N1998">
            <v>20181115</v>
          </cell>
          <cell r="O1998" t="str">
            <v>Q sep 20-1000bp</v>
          </cell>
        </row>
        <row r="1999">
          <cell r="E1999" t="str">
            <v>HFMET181114A2134-59-82</v>
          </cell>
          <cell r="F1999" t="str">
            <v>Meta 48，C12</v>
          </cell>
          <cell r="G1999">
            <v>20</v>
          </cell>
          <cell r="H1999" t="str">
            <v>环境微生物</v>
          </cell>
          <cell r="I1999">
            <v>541</v>
          </cell>
          <cell r="J1999">
            <v>20.92</v>
          </cell>
          <cell r="K1999">
            <v>55.72</v>
          </cell>
          <cell r="L1999" t="str">
            <v>合格</v>
          </cell>
          <cell r="M1999" t="str">
            <v>王丹丹/朱绪涛</v>
          </cell>
          <cell r="N1999">
            <v>20181115</v>
          </cell>
          <cell r="O1999" t="str">
            <v>Q sep 20-1000bp</v>
          </cell>
        </row>
        <row r="2000">
          <cell r="E2000" t="str">
            <v>HFMET181114A2135-65-82</v>
          </cell>
          <cell r="F2000" t="str">
            <v>Meta 48，D01</v>
          </cell>
          <cell r="G2000">
            <v>20</v>
          </cell>
          <cell r="H2000" t="str">
            <v>环境微生物</v>
          </cell>
          <cell r="I2000">
            <v>536</v>
          </cell>
          <cell r="J2000">
            <v>22.27</v>
          </cell>
          <cell r="K2000">
            <v>61.21</v>
          </cell>
          <cell r="L2000" t="str">
            <v>合格</v>
          </cell>
          <cell r="M2000" t="str">
            <v>王丹丹/朱绪涛</v>
          </cell>
          <cell r="N2000">
            <v>20181115</v>
          </cell>
          <cell r="O2000" t="str">
            <v>Q sep 20-1000bp</v>
          </cell>
        </row>
        <row r="2001">
          <cell r="E2001" t="str">
            <v>HFMET181114A2136-66-82</v>
          </cell>
          <cell r="F2001" t="str">
            <v>Meta 48，D02</v>
          </cell>
          <cell r="G2001">
            <v>20</v>
          </cell>
          <cell r="H2001" t="str">
            <v>环境微生物</v>
          </cell>
          <cell r="I2001">
            <v>536</v>
          </cell>
          <cell r="J2001">
            <v>19.760000000000002</v>
          </cell>
          <cell r="K2001">
            <v>54.28</v>
          </cell>
          <cell r="L2001" t="str">
            <v>合格</v>
          </cell>
          <cell r="M2001" t="str">
            <v>王丹丹/朱绪涛</v>
          </cell>
          <cell r="N2001">
            <v>20181115</v>
          </cell>
          <cell r="O2001" t="str">
            <v>Q sep 20-1000bp</v>
          </cell>
        </row>
        <row r="2002">
          <cell r="E2002" t="str">
            <v>HFMET181114A2137-59-83</v>
          </cell>
          <cell r="F2002" t="str">
            <v>Meta 48，D03</v>
          </cell>
          <cell r="G2002">
            <v>20</v>
          </cell>
          <cell r="H2002" t="str">
            <v>环境微生物</v>
          </cell>
          <cell r="I2002">
            <v>545</v>
          </cell>
          <cell r="J2002">
            <v>1.06</v>
          </cell>
          <cell r="K2002">
            <v>2.94</v>
          </cell>
          <cell r="L2002" t="str">
            <v>合格</v>
          </cell>
          <cell r="M2002" t="str">
            <v>王丹丹/朱绪涛</v>
          </cell>
          <cell r="N2002">
            <v>20181115</v>
          </cell>
          <cell r="O2002" t="str">
            <v>Q sep 20-1000bp</v>
          </cell>
        </row>
        <row r="2003">
          <cell r="E2003" t="str">
            <v>HFMET181114A2138-63-83</v>
          </cell>
          <cell r="F2003" t="str">
            <v>Meta 48，D04</v>
          </cell>
          <cell r="G2003">
            <v>20</v>
          </cell>
          <cell r="H2003" t="str">
            <v>环境微生物</v>
          </cell>
          <cell r="I2003">
            <v>543</v>
          </cell>
          <cell r="J2003">
            <v>21.47</v>
          </cell>
          <cell r="K2003">
            <v>58.16</v>
          </cell>
          <cell r="L2003" t="str">
            <v>合格</v>
          </cell>
          <cell r="M2003" t="str">
            <v>王丹丹/朱绪涛</v>
          </cell>
          <cell r="N2003">
            <v>20181115</v>
          </cell>
          <cell r="O2003" t="str">
            <v>Q sep 20-1000bp</v>
          </cell>
        </row>
        <row r="2004">
          <cell r="E2004" t="str">
            <v>HFMET181114A2139-64-83</v>
          </cell>
          <cell r="F2004" t="str">
            <v>Meta 48，D05</v>
          </cell>
          <cell r="G2004">
            <v>20</v>
          </cell>
          <cell r="H2004" t="str">
            <v>环境微生物</v>
          </cell>
          <cell r="I2004">
            <v>554</v>
          </cell>
          <cell r="J2004">
            <v>7.08</v>
          </cell>
          <cell r="K2004">
            <v>19.32</v>
          </cell>
          <cell r="L2004" t="str">
            <v>合格</v>
          </cell>
          <cell r="M2004" t="str">
            <v>王丹丹/朱绪涛</v>
          </cell>
          <cell r="N2004">
            <v>20181115</v>
          </cell>
          <cell r="O2004" t="str">
            <v>Q sep 20-1000bp</v>
          </cell>
        </row>
        <row r="2005">
          <cell r="E2005" t="str">
            <v>HFMET181114A2140-65-83</v>
          </cell>
          <cell r="F2005" t="str">
            <v>Meta 48，D06</v>
          </cell>
          <cell r="G2005">
            <v>20</v>
          </cell>
          <cell r="H2005" t="str">
            <v>环境微生物</v>
          </cell>
          <cell r="I2005">
            <v>537</v>
          </cell>
          <cell r="J2005">
            <v>24.15</v>
          </cell>
          <cell r="K2005">
            <v>65.66</v>
          </cell>
          <cell r="L2005" t="str">
            <v>合格</v>
          </cell>
          <cell r="M2005" t="str">
            <v>王丹丹/朱绪涛</v>
          </cell>
          <cell r="N2005">
            <v>20181115</v>
          </cell>
          <cell r="O2005" t="str">
            <v>Q sep 20-1000bp</v>
          </cell>
        </row>
        <row r="2006">
          <cell r="E2006" t="str">
            <v>NTC-64-83</v>
          </cell>
          <cell r="F2006" t="str">
            <v>Meta 48，D07</v>
          </cell>
          <cell r="G2006">
            <v>20</v>
          </cell>
          <cell r="I2006">
            <v>557</v>
          </cell>
          <cell r="J2006">
            <v>3.46</v>
          </cell>
          <cell r="K2006">
            <v>9.6300000000000008</v>
          </cell>
          <cell r="L2006" t="str">
            <v>不合格</v>
          </cell>
          <cell r="M2006" t="str">
            <v>王丹丹/朱绪涛</v>
          </cell>
          <cell r="N2006">
            <v>20181115</v>
          </cell>
          <cell r="O2006" t="str">
            <v>Q sep 20-1000bp</v>
          </cell>
        </row>
        <row r="2007">
          <cell r="E2007" t="str">
            <v>NTC-65-83</v>
          </cell>
          <cell r="F2007" t="str">
            <v>Meta 48，D08</v>
          </cell>
          <cell r="G2007">
            <v>20</v>
          </cell>
          <cell r="I2007">
            <v>542</v>
          </cell>
          <cell r="J2007">
            <v>2.21</v>
          </cell>
          <cell r="K2007">
            <v>6.14</v>
          </cell>
          <cell r="L2007" t="str">
            <v>不合格</v>
          </cell>
          <cell r="M2007" t="str">
            <v>王丹丹/朱绪涛</v>
          </cell>
          <cell r="N2007">
            <v>20181115</v>
          </cell>
          <cell r="O2007" t="str">
            <v>Q sep 20-1000bp</v>
          </cell>
        </row>
        <row r="2008">
          <cell r="E2008" t="str">
            <v>HFMET181118A2181-16-111</v>
          </cell>
          <cell r="F2008" t="str">
            <v>Meta 48，H03</v>
          </cell>
          <cell r="G2008">
            <v>20</v>
          </cell>
          <cell r="H2008" t="str">
            <v>土壤</v>
          </cell>
          <cell r="I2008">
            <v>597</v>
          </cell>
          <cell r="J2008">
            <v>1.36</v>
          </cell>
          <cell r="K2008" t="str">
            <v>3.42</v>
          </cell>
          <cell r="L2008" t="str">
            <v>合格</v>
          </cell>
          <cell r="M2008" t="str">
            <v>王建敏/朱绪涛</v>
          </cell>
          <cell r="N2008" t="str">
            <v>20181119-1</v>
          </cell>
          <cell r="O2008" t="str">
            <v>Q sep 20-1000bp</v>
          </cell>
        </row>
        <row r="2009">
          <cell r="E2009" t="str">
            <v>HFMET181118A2182-17-111</v>
          </cell>
          <cell r="F2009" t="str">
            <v>Meta 48，H04</v>
          </cell>
          <cell r="G2009">
            <v>20</v>
          </cell>
          <cell r="H2009" t="str">
            <v>土壤</v>
          </cell>
          <cell r="I2009">
            <v>602</v>
          </cell>
          <cell r="J2009">
            <v>1.17</v>
          </cell>
          <cell r="K2009" t="str">
            <v>2.92</v>
          </cell>
          <cell r="L2009" t="str">
            <v>合格</v>
          </cell>
          <cell r="M2009" t="str">
            <v>王建敏/朱绪涛</v>
          </cell>
          <cell r="N2009" t="str">
            <v>20181119-2</v>
          </cell>
          <cell r="O2009" t="str">
            <v>Q sep 20-1000bp</v>
          </cell>
        </row>
        <row r="2010">
          <cell r="E2010" t="str">
            <v>HFMET181118A2183-21-111</v>
          </cell>
          <cell r="F2010" t="str">
            <v>Meta 48，H05</v>
          </cell>
          <cell r="G2010">
            <v>20</v>
          </cell>
          <cell r="H2010" t="str">
            <v>土壤</v>
          </cell>
          <cell r="I2010">
            <v>586</v>
          </cell>
          <cell r="J2010">
            <v>7.94</v>
          </cell>
          <cell r="K2010" t="str">
            <v>19.92</v>
          </cell>
          <cell r="L2010" t="str">
            <v>合格</v>
          </cell>
          <cell r="M2010" t="str">
            <v>王建敏/朱绪涛</v>
          </cell>
          <cell r="N2010" t="str">
            <v>20181119-3</v>
          </cell>
          <cell r="O2010" t="str">
            <v>Q sep 20-1000bp</v>
          </cell>
        </row>
        <row r="2011">
          <cell r="E2011" t="str">
            <v>HFMET181118A2184-27-111</v>
          </cell>
          <cell r="F2011" t="str">
            <v>Meta 48，H06</v>
          </cell>
          <cell r="G2011">
            <v>20</v>
          </cell>
          <cell r="H2011" t="str">
            <v>土壤</v>
          </cell>
          <cell r="I2011">
            <v>585</v>
          </cell>
          <cell r="J2011">
            <v>9.8800000000000008</v>
          </cell>
          <cell r="K2011" t="str">
            <v>24.87</v>
          </cell>
          <cell r="L2011" t="str">
            <v>合格</v>
          </cell>
          <cell r="M2011" t="str">
            <v>王建敏/朱绪涛</v>
          </cell>
          <cell r="N2011" t="str">
            <v>20181119-4</v>
          </cell>
          <cell r="O2011" t="str">
            <v>Q sep 20-1000bp</v>
          </cell>
        </row>
        <row r="2012">
          <cell r="E2012" t="str">
            <v>HFMET181118A2185-84-111</v>
          </cell>
          <cell r="F2012" t="str">
            <v>Meta 48，H07</v>
          </cell>
          <cell r="G2012">
            <v>20</v>
          </cell>
          <cell r="H2012" t="str">
            <v>土壤</v>
          </cell>
          <cell r="I2012">
            <v>588</v>
          </cell>
          <cell r="J2012">
            <v>0.89</v>
          </cell>
          <cell r="K2012" t="str">
            <v>2.29</v>
          </cell>
          <cell r="L2012" t="str">
            <v>不合格</v>
          </cell>
          <cell r="M2012" t="str">
            <v>王建敏/朱绪涛</v>
          </cell>
          <cell r="N2012" t="str">
            <v>20181119-5</v>
          </cell>
          <cell r="O2012" t="str">
            <v>Q sep 20-1000bp</v>
          </cell>
        </row>
        <row r="2013">
          <cell r="E2013" t="str">
            <v>HFMET181118A2186-85-111</v>
          </cell>
          <cell r="F2013" t="str">
            <v>Meta 48，H08</v>
          </cell>
          <cell r="G2013">
            <v>20</v>
          </cell>
          <cell r="H2013" t="str">
            <v>土壤</v>
          </cell>
          <cell r="I2013">
            <v>605</v>
          </cell>
          <cell r="J2013">
            <v>0.72</v>
          </cell>
          <cell r="K2013" t="str">
            <v>1.80</v>
          </cell>
          <cell r="L2013" t="str">
            <v>不合格</v>
          </cell>
          <cell r="M2013" t="str">
            <v>王建敏/朱绪涛</v>
          </cell>
          <cell r="N2013" t="str">
            <v>20181119-6</v>
          </cell>
          <cell r="O2013" t="str">
            <v>Q sep 20-1000bp</v>
          </cell>
        </row>
        <row r="2014">
          <cell r="E2014" t="str">
            <v>HFMET181118A2187-86-111</v>
          </cell>
          <cell r="F2014" t="str">
            <v>Meta 48，H09</v>
          </cell>
          <cell r="G2014">
            <v>20</v>
          </cell>
          <cell r="H2014" t="str">
            <v>土壤</v>
          </cell>
          <cell r="I2014">
            <v>603</v>
          </cell>
          <cell r="J2014">
            <v>0.69</v>
          </cell>
          <cell r="K2014" t="str">
            <v>1.73</v>
          </cell>
          <cell r="L2014" t="str">
            <v>不合格</v>
          </cell>
          <cell r="M2014" t="str">
            <v>王建敏/朱绪涛</v>
          </cell>
          <cell r="N2014" t="str">
            <v>20181119-7</v>
          </cell>
          <cell r="O2014" t="str">
            <v>Q sep 20-1000bp</v>
          </cell>
        </row>
        <row r="2015">
          <cell r="E2015" t="str">
            <v>HFMET181118A2188-87-111</v>
          </cell>
          <cell r="F2015" t="str">
            <v>Meta 48，H10</v>
          </cell>
          <cell r="G2015">
            <v>20</v>
          </cell>
          <cell r="H2015" t="str">
            <v>土壤</v>
          </cell>
          <cell r="I2015">
            <v>583</v>
          </cell>
          <cell r="J2015">
            <v>10.5</v>
          </cell>
          <cell r="K2015" t="str">
            <v>26.40</v>
          </cell>
          <cell r="L2015" t="str">
            <v>合格</v>
          </cell>
          <cell r="M2015" t="str">
            <v>王建敏/朱绪涛</v>
          </cell>
          <cell r="N2015" t="str">
            <v>20181119-8</v>
          </cell>
          <cell r="O2015" t="str">
            <v>Q sep 20-1000bp</v>
          </cell>
        </row>
        <row r="2016">
          <cell r="E2016" t="str">
            <v>HFMET181118A2189-88-111</v>
          </cell>
          <cell r="F2016" t="str">
            <v>Meta 48，H11</v>
          </cell>
          <cell r="G2016">
            <v>20</v>
          </cell>
          <cell r="H2016" t="str">
            <v>土壤</v>
          </cell>
          <cell r="I2016">
            <v>585</v>
          </cell>
          <cell r="J2016">
            <v>5.0199999999999996</v>
          </cell>
          <cell r="K2016" t="str">
            <v>12.68</v>
          </cell>
          <cell r="L2016" t="str">
            <v>合格</v>
          </cell>
          <cell r="M2016" t="str">
            <v>王建敏/朱绪涛</v>
          </cell>
          <cell r="N2016" t="str">
            <v>20181119-9</v>
          </cell>
          <cell r="O2016" t="str">
            <v>Q sep 20-1000bp</v>
          </cell>
        </row>
        <row r="2017">
          <cell r="E2017" t="str">
            <v>HFMET181118A2190-1-124</v>
          </cell>
          <cell r="F2017" t="str">
            <v>Meta 48，H12</v>
          </cell>
          <cell r="G2017">
            <v>20</v>
          </cell>
          <cell r="H2017" t="str">
            <v>土壤</v>
          </cell>
          <cell r="I2017">
            <v>589</v>
          </cell>
          <cell r="J2017">
            <v>6.05</v>
          </cell>
          <cell r="K2017" t="str">
            <v>15.05</v>
          </cell>
          <cell r="L2017" t="str">
            <v>合格</v>
          </cell>
          <cell r="M2017" t="str">
            <v>王建敏/朱绪涛</v>
          </cell>
          <cell r="N2017" t="str">
            <v>20181119-10</v>
          </cell>
          <cell r="O2017" t="str">
            <v>Q sep 20-1000bp</v>
          </cell>
        </row>
        <row r="2018">
          <cell r="E2018" t="str">
            <v>HFMET181118A2191-16-124</v>
          </cell>
          <cell r="F2018" t="str">
            <v>Meta 49，A01</v>
          </cell>
          <cell r="G2018">
            <v>20</v>
          </cell>
          <cell r="H2018" t="str">
            <v>土壤</v>
          </cell>
          <cell r="I2018">
            <v>571</v>
          </cell>
          <cell r="J2018">
            <v>12.01</v>
          </cell>
          <cell r="K2018" t="str">
            <v>30.92</v>
          </cell>
          <cell r="L2018" t="str">
            <v>合格</v>
          </cell>
          <cell r="M2018" t="str">
            <v>王建敏/朱绪涛</v>
          </cell>
          <cell r="N2018" t="str">
            <v>20181119-11</v>
          </cell>
          <cell r="O2018" t="str">
            <v>Q sep 20-1000bp</v>
          </cell>
        </row>
        <row r="2019">
          <cell r="E2019" t="str">
            <v>HFMET181118A2192-17-124</v>
          </cell>
          <cell r="F2019" t="str">
            <v>Meta 49，A02</v>
          </cell>
          <cell r="G2019">
            <v>20</v>
          </cell>
          <cell r="H2019" t="str">
            <v>土壤</v>
          </cell>
          <cell r="I2019">
            <v>591</v>
          </cell>
          <cell r="J2019">
            <v>5.72</v>
          </cell>
          <cell r="K2019" t="str">
            <v>14.41</v>
          </cell>
          <cell r="L2019" t="str">
            <v>合格</v>
          </cell>
          <cell r="M2019" t="str">
            <v>王建敏/朱绪涛</v>
          </cell>
          <cell r="N2019" t="str">
            <v>20181119-12</v>
          </cell>
          <cell r="O2019" t="str">
            <v>Q sep 20-1000bp</v>
          </cell>
        </row>
        <row r="2020">
          <cell r="E2020" t="str">
            <v>HFMET181118A2193-21-124</v>
          </cell>
          <cell r="F2020" t="str">
            <v>Meta 49，A03</v>
          </cell>
          <cell r="G2020">
            <v>20</v>
          </cell>
          <cell r="H2020" t="str">
            <v>土壤</v>
          </cell>
          <cell r="I2020">
            <v>594</v>
          </cell>
          <cell r="J2020">
            <v>4.84</v>
          </cell>
          <cell r="K2020" t="str">
            <v>11.97</v>
          </cell>
          <cell r="L2020" t="str">
            <v>合格</v>
          </cell>
          <cell r="M2020" t="str">
            <v>王建敏/朱绪涛</v>
          </cell>
          <cell r="N2020" t="str">
            <v>20181119-13</v>
          </cell>
          <cell r="O2020" t="str">
            <v>Q sep 20-1000bp</v>
          </cell>
        </row>
        <row r="2021">
          <cell r="E2021" t="str">
            <v>HFMET181118A2194-27-124</v>
          </cell>
          <cell r="F2021" t="str">
            <v>Meta 49，A04</v>
          </cell>
          <cell r="G2021">
            <v>20</v>
          </cell>
          <cell r="H2021" t="str">
            <v>土壤</v>
          </cell>
          <cell r="I2021">
            <v>590</v>
          </cell>
          <cell r="J2021">
            <v>6.63</v>
          </cell>
          <cell r="K2021" t="str">
            <v>16.42</v>
          </cell>
          <cell r="L2021" t="str">
            <v>合格</v>
          </cell>
          <cell r="M2021" t="str">
            <v>王建敏/朱绪涛</v>
          </cell>
          <cell r="N2021" t="str">
            <v>20181119-14</v>
          </cell>
          <cell r="O2021" t="str">
            <v>Q sep 20-1000bp</v>
          </cell>
        </row>
        <row r="2022">
          <cell r="E2022" t="str">
            <v>HFMET181118A2195-91-125</v>
          </cell>
          <cell r="F2022" t="str">
            <v>Meta 49，A05</v>
          </cell>
          <cell r="G2022">
            <v>20</v>
          </cell>
          <cell r="H2022" t="str">
            <v>土壤</v>
          </cell>
          <cell r="I2022">
            <v>596</v>
          </cell>
          <cell r="J2022">
            <v>4.3</v>
          </cell>
          <cell r="K2022" t="str">
            <v>10.97</v>
          </cell>
          <cell r="L2022" t="str">
            <v>合格</v>
          </cell>
          <cell r="M2022" t="str">
            <v>王建敏/朱绪涛</v>
          </cell>
          <cell r="N2022" t="str">
            <v>20181119-15</v>
          </cell>
          <cell r="O2022" t="str">
            <v>Q sep 20-1000bp</v>
          </cell>
        </row>
        <row r="2023">
          <cell r="E2023" t="str">
            <v>HFMET181118A2196-92-125</v>
          </cell>
          <cell r="F2023" t="str">
            <v>Meta 49，A06</v>
          </cell>
          <cell r="G2023">
            <v>20</v>
          </cell>
          <cell r="H2023" t="str">
            <v>土壤</v>
          </cell>
          <cell r="I2023">
            <v>586</v>
          </cell>
          <cell r="J2023">
            <v>7.74</v>
          </cell>
          <cell r="K2023" t="str">
            <v>20.00</v>
          </cell>
          <cell r="L2023" t="str">
            <v>合格</v>
          </cell>
          <cell r="M2023" t="str">
            <v>王建敏/朱绪涛</v>
          </cell>
          <cell r="N2023" t="str">
            <v>20181119-16</v>
          </cell>
          <cell r="O2023" t="str">
            <v>Q sep 20-1000bp</v>
          </cell>
        </row>
        <row r="2024">
          <cell r="E2024" t="str">
            <v>HFMET181118A2197-93-125</v>
          </cell>
          <cell r="F2024" t="str">
            <v>Meta 49，A07</v>
          </cell>
          <cell r="G2024">
            <v>20</v>
          </cell>
          <cell r="H2024" t="str">
            <v>土壤</v>
          </cell>
          <cell r="I2024">
            <v>581</v>
          </cell>
          <cell r="J2024">
            <v>10.9</v>
          </cell>
          <cell r="K2024" t="str">
            <v>28.21</v>
          </cell>
          <cell r="L2024" t="str">
            <v>合格</v>
          </cell>
          <cell r="M2024" t="str">
            <v>王建敏/朱绪涛</v>
          </cell>
          <cell r="N2024" t="str">
            <v>20181119-17</v>
          </cell>
          <cell r="O2024" t="str">
            <v>Q sep 20-1000bp</v>
          </cell>
        </row>
        <row r="2025">
          <cell r="E2025" t="str">
            <v>HFMET181118A2198-94-125</v>
          </cell>
          <cell r="F2025" t="str">
            <v>Meta 49，A08</v>
          </cell>
          <cell r="G2025">
            <v>20</v>
          </cell>
          <cell r="H2025" t="str">
            <v>土壤</v>
          </cell>
          <cell r="I2025">
            <v>590</v>
          </cell>
          <cell r="J2025">
            <v>8.08</v>
          </cell>
          <cell r="K2025" t="str">
            <v>20.60</v>
          </cell>
          <cell r="L2025" t="str">
            <v>合格</v>
          </cell>
          <cell r="M2025" t="str">
            <v>王建敏/朱绪涛</v>
          </cell>
          <cell r="N2025" t="str">
            <v>20181119-18</v>
          </cell>
          <cell r="O2025" t="str">
            <v>Q sep 20-1000bp</v>
          </cell>
        </row>
        <row r="2026">
          <cell r="E2026" t="str">
            <v>HFMET181118A2199-95-125</v>
          </cell>
          <cell r="F2026" t="str">
            <v>Meta 49，A09</v>
          </cell>
          <cell r="G2026">
            <v>20</v>
          </cell>
          <cell r="H2026" t="str">
            <v>土壤</v>
          </cell>
          <cell r="I2026">
            <v>581</v>
          </cell>
          <cell r="J2026">
            <v>9.4600000000000009</v>
          </cell>
          <cell r="K2026" t="str">
            <v>24.22</v>
          </cell>
          <cell r="L2026" t="str">
            <v>合格</v>
          </cell>
          <cell r="M2026" t="str">
            <v>王建敏/朱绪涛</v>
          </cell>
          <cell r="N2026" t="str">
            <v>20181119-19</v>
          </cell>
          <cell r="O2026" t="str">
            <v>Q sep 20-1000bp</v>
          </cell>
        </row>
        <row r="2027">
          <cell r="F2027" t="str">
            <v>Meta 49，A10</v>
          </cell>
          <cell r="G2027">
            <v>20</v>
          </cell>
          <cell r="I2027" t="str">
            <v>无目的峰</v>
          </cell>
          <cell r="J2027">
            <v>3.8300000000000001E-2</v>
          </cell>
          <cell r="K2027">
            <v>0.108389</v>
          </cell>
          <cell r="L2027" t="str">
            <v>合格</v>
          </cell>
          <cell r="M2027" t="str">
            <v>王建敏/朱绪涛</v>
          </cell>
          <cell r="N2027" t="str">
            <v>20181119-20</v>
          </cell>
          <cell r="O2027" t="str">
            <v>Q sep 20-1000bp</v>
          </cell>
        </row>
        <row r="2028">
          <cell r="E2028" t="str">
            <v>HFMET181118A2201-55-68</v>
          </cell>
          <cell r="F2028" t="str">
            <v>Meta 49，A11</v>
          </cell>
          <cell r="G2028">
            <v>20</v>
          </cell>
          <cell r="H2028" t="str">
            <v>土壤</v>
          </cell>
          <cell r="I2028" t="str">
            <v>无目的峰</v>
          </cell>
          <cell r="J2028">
            <v>0.08</v>
          </cell>
          <cell r="K2028" t="str">
            <v>0.19</v>
          </cell>
          <cell r="L2028" t="str">
            <v>不合格</v>
          </cell>
          <cell r="M2028" t="str">
            <v>王建敏/朱绪涛</v>
          </cell>
          <cell r="N2028" t="str">
            <v>20181119-21</v>
          </cell>
          <cell r="O2028" t="str">
            <v>Q sep 20-1000bp</v>
          </cell>
        </row>
        <row r="2029">
          <cell r="E2029" t="str">
            <v>HFMET181118A2202-56-68</v>
          </cell>
          <cell r="F2029" t="str">
            <v>Meta 49，A12</v>
          </cell>
          <cell r="G2029">
            <v>20</v>
          </cell>
          <cell r="H2029" t="str">
            <v>土壤</v>
          </cell>
          <cell r="I2029" t="str">
            <v>无目的峰</v>
          </cell>
          <cell r="J2029">
            <v>0.11</v>
          </cell>
          <cell r="K2029" t="str">
            <v>0.28</v>
          </cell>
          <cell r="L2029" t="str">
            <v>不合格</v>
          </cell>
          <cell r="M2029" t="str">
            <v>王建敏/朱绪涛</v>
          </cell>
          <cell r="N2029" t="str">
            <v>20181119-22</v>
          </cell>
          <cell r="O2029" t="str">
            <v>Q sep 20-1000bp</v>
          </cell>
        </row>
        <row r="2030">
          <cell r="E2030" t="str">
            <v>HFMET181118A2203-57-68</v>
          </cell>
          <cell r="F2030" t="str">
            <v>Meta 49，B01</v>
          </cell>
          <cell r="G2030">
            <v>20</v>
          </cell>
          <cell r="H2030" t="str">
            <v>土壤</v>
          </cell>
          <cell r="I2030">
            <v>573</v>
          </cell>
          <cell r="J2030">
            <v>7.67</v>
          </cell>
          <cell r="K2030" t="str">
            <v>19.81</v>
          </cell>
          <cell r="L2030" t="str">
            <v>合格</v>
          </cell>
          <cell r="M2030" t="str">
            <v>王建敏/朱绪涛</v>
          </cell>
          <cell r="N2030" t="str">
            <v>20181119-23</v>
          </cell>
          <cell r="O2030" t="str">
            <v>Q sep 20-1000bp</v>
          </cell>
        </row>
        <row r="2031">
          <cell r="E2031" t="str">
            <v>HFMET181118A2204-58-68</v>
          </cell>
          <cell r="F2031" t="str">
            <v>Meta 49，B02</v>
          </cell>
          <cell r="G2031">
            <v>20</v>
          </cell>
          <cell r="H2031" t="str">
            <v>土壤</v>
          </cell>
          <cell r="I2031">
            <v>600</v>
          </cell>
          <cell r="J2031">
            <v>2.64</v>
          </cell>
          <cell r="K2031" t="str">
            <v>6.56</v>
          </cell>
          <cell r="L2031" t="str">
            <v>合格</v>
          </cell>
          <cell r="M2031" t="str">
            <v>王建敏/朱绪涛</v>
          </cell>
          <cell r="N2031" t="str">
            <v>20181119-24</v>
          </cell>
          <cell r="O2031" t="str">
            <v>Q sep 20-1000bp</v>
          </cell>
        </row>
        <row r="2032">
          <cell r="E2032" t="str">
            <v>HFMET181118A2205-51-69</v>
          </cell>
          <cell r="F2032" t="str">
            <v>Meta 49，B03</v>
          </cell>
          <cell r="G2032">
            <v>20</v>
          </cell>
          <cell r="H2032" t="str">
            <v>土壤</v>
          </cell>
          <cell r="I2032">
            <v>591</v>
          </cell>
          <cell r="J2032">
            <v>2.79</v>
          </cell>
          <cell r="K2032" t="str">
            <v>7.09</v>
          </cell>
          <cell r="L2032" t="str">
            <v>合格</v>
          </cell>
          <cell r="M2032" t="str">
            <v>王建敏/朱绪涛</v>
          </cell>
          <cell r="N2032" t="str">
            <v>20181119-25</v>
          </cell>
          <cell r="O2032" t="str">
            <v>Q sep 20-1000bp</v>
          </cell>
        </row>
        <row r="2033">
          <cell r="E2033" t="str">
            <v>HFMET181118A2206-52-69</v>
          </cell>
          <cell r="F2033" t="str">
            <v>Meta 49，B04</v>
          </cell>
          <cell r="G2033">
            <v>20</v>
          </cell>
          <cell r="H2033" t="str">
            <v>土壤</v>
          </cell>
          <cell r="I2033">
            <v>602</v>
          </cell>
          <cell r="J2033">
            <v>0.59</v>
          </cell>
          <cell r="K2033" t="str">
            <v>1.47</v>
          </cell>
          <cell r="L2033" t="str">
            <v>不合格</v>
          </cell>
          <cell r="M2033" t="str">
            <v>王建敏/朱绪涛</v>
          </cell>
          <cell r="N2033" t="str">
            <v>20181119-26</v>
          </cell>
          <cell r="O2033" t="str">
            <v>Q sep 20-1000bp</v>
          </cell>
        </row>
        <row r="2034">
          <cell r="E2034" t="str">
            <v>HFMET181118A2207-53-69</v>
          </cell>
          <cell r="F2034" t="str">
            <v>Meta 49，B05</v>
          </cell>
          <cell r="G2034">
            <v>20</v>
          </cell>
          <cell r="H2034" t="str">
            <v>土壤</v>
          </cell>
          <cell r="I2034" t="str">
            <v>无目的峰</v>
          </cell>
          <cell r="J2034">
            <v>0.08</v>
          </cell>
          <cell r="K2034" t="str">
            <v>0.20</v>
          </cell>
          <cell r="L2034" t="str">
            <v>不合格</v>
          </cell>
          <cell r="M2034" t="str">
            <v>王建敏/朱绪涛</v>
          </cell>
          <cell r="N2034" t="str">
            <v>20181119-27</v>
          </cell>
          <cell r="O2034" t="str">
            <v>Q sep 20-1000bp</v>
          </cell>
        </row>
        <row r="2035">
          <cell r="E2035" t="str">
            <v>HFMET181118A2208-54-69</v>
          </cell>
          <cell r="F2035" t="str">
            <v>Meta 49，B06</v>
          </cell>
          <cell r="G2035">
            <v>20</v>
          </cell>
          <cell r="H2035" t="str">
            <v>土壤</v>
          </cell>
          <cell r="I2035">
            <v>602</v>
          </cell>
          <cell r="J2035">
            <v>1</v>
          </cell>
          <cell r="K2035" t="str">
            <v>2.48</v>
          </cell>
          <cell r="L2035" t="str">
            <v>合格</v>
          </cell>
          <cell r="M2035" t="str">
            <v>王建敏/朱绪涛</v>
          </cell>
          <cell r="N2035" t="str">
            <v>20181119-28</v>
          </cell>
          <cell r="O2035" t="str">
            <v>Q sep 20-1000bp</v>
          </cell>
        </row>
        <row r="2036">
          <cell r="E2036" t="str">
            <v>HFMET181118A2209-55-69</v>
          </cell>
          <cell r="F2036" t="str">
            <v>Meta 49，B07</v>
          </cell>
          <cell r="G2036">
            <v>20</v>
          </cell>
          <cell r="H2036" t="str">
            <v>土壤</v>
          </cell>
          <cell r="I2036">
            <v>596</v>
          </cell>
          <cell r="J2036">
            <v>1.25</v>
          </cell>
          <cell r="K2036" t="str">
            <v>3.11</v>
          </cell>
          <cell r="L2036" t="str">
            <v>合格</v>
          </cell>
          <cell r="M2036" t="str">
            <v>王建敏/朱绪涛</v>
          </cell>
          <cell r="N2036" t="str">
            <v>20181119-29</v>
          </cell>
          <cell r="O2036" t="str">
            <v>Q sep 20-1000bp</v>
          </cell>
        </row>
        <row r="2037">
          <cell r="E2037" t="str">
            <v>HFMET181118A2210-56-69</v>
          </cell>
          <cell r="F2037" t="str">
            <v>Meta 49，B08</v>
          </cell>
          <cell r="G2037">
            <v>20</v>
          </cell>
          <cell r="H2037" t="str">
            <v>土壤</v>
          </cell>
          <cell r="I2037">
            <v>507</v>
          </cell>
          <cell r="J2037">
            <v>18.899999999999999</v>
          </cell>
          <cell r="K2037">
            <v>56.06</v>
          </cell>
          <cell r="L2037" t="str">
            <v>合格</v>
          </cell>
          <cell r="M2037" t="str">
            <v>王建敏/朱绪涛</v>
          </cell>
          <cell r="N2037" t="str">
            <v>20181119-30</v>
          </cell>
          <cell r="O2037" t="str">
            <v>Q sep 20-1000bp</v>
          </cell>
        </row>
        <row r="2038">
          <cell r="E2038" t="str">
            <v>HFMET181118A2211-57-69</v>
          </cell>
          <cell r="F2038" t="str">
            <v>Meta 49，B09</v>
          </cell>
          <cell r="G2038">
            <v>20</v>
          </cell>
          <cell r="H2038" t="str">
            <v>土壤</v>
          </cell>
          <cell r="I2038">
            <v>565</v>
          </cell>
          <cell r="J2038">
            <v>12.07</v>
          </cell>
          <cell r="K2038" t="str">
            <v>31.88</v>
          </cell>
          <cell r="L2038" t="str">
            <v>合格</v>
          </cell>
          <cell r="M2038" t="str">
            <v>王建敏/朱绪涛</v>
          </cell>
          <cell r="N2038" t="str">
            <v>20181119-31</v>
          </cell>
          <cell r="O2038" t="str">
            <v>Q sep 20-1000bp</v>
          </cell>
        </row>
        <row r="2039">
          <cell r="E2039" t="str">
            <v>HFMET181118A2212-58-69</v>
          </cell>
          <cell r="F2039" t="str">
            <v>Meta 49，B10</v>
          </cell>
          <cell r="G2039">
            <v>20</v>
          </cell>
          <cell r="H2039" t="str">
            <v>土壤</v>
          </cell>
          <cell r="I2039">
            <v>556</v>
          </cell>
          <cell r="J2039">
            <v>12.79</v>
          </cell>
          <cell r="K2039" t="str">
            <v>34.08</v>
          </cell>
          <cell r="L2039" t="str">
            <v>合格</v>
          </cell>
          <cell r="M2039" t="str">
            <v>王建敏/朱绪涛</v>
          </cell>
          <cell r="N2039" t="str">
            <v>20181119-32</v>
          </cell>
          <cell r="O2039" t="str">
            <v>Q sep 20-1000bp</v>
          </cell>
        </row>
        <row r="2040">
          <cell r="E2040" t="str">
            <v>HFMET181118A2213-51-70</v>
          </cell>
          <cell r="F2040" t="str">
            <v>Meta 49，B11</v>
          </cell>
          <cell r="G2040">
            <v>20</v>
          </cell>
          <cell r="H2040" t="str">
            <v>土壤</v>
          </cell>
          <cell r="I2040">
            <v>537</v>
          </cell>
          <cell r="J2040">
            <v>16.48</v>
          </cell>
          <cell r="K2040" t="str">
            <v>45.02</v>
          </cell>
          <cell r="L2040" t="str">
            <v>合格</v>
          </cell>
          <cell r="M2040" t="str">
            <v>王建敏/朱绪涛</v>
          </cell>
          <cell r="N2040" t="str">
            <v>20181119-33</v>
          </cell>
          <cell r="O2040" t="str">
            <v>Q sep 20-1000bp</v>
          </cell>
        </row>
        <row r="2041">
          <cell r="E2041" t="str">
            <v>HFMET181118A2214-52-70</v>
          </cell>
          <cell r="F2041" t="str">
            <v>Meta 49，B12</v>
          </cell>
          <cell r="G2041">
            <v>20</v>
          </cell>
          <cell r="H2041" t="str">
            <v>土壤</v>
          </cell>
          <cell r="I2041">
            <v>548</v>
          </cell>
          <cell r="J2041">
            <v>13.51</v>
          </cell>
          <cell r="K2041" t="str">
            <v>36.37</v>
          </cell>
          <cell r="L2041" t="str">
            <v>合格</v>
          </cell>
          <cell r="M2041" t="str">
            <v>王建敏/朱绪涛</v>
          </cell>
          <cell r="N2041" t="str">
            <v>20181119-34</v>
          </cell>
          <cell r="O2041" t="str">
            <v>Q sep 20-1000bp</v>
          </cell>
        </row>
        <row r="2042">
          <cell r="E2042" t="str">
            <v>HFMET181118A2215-53-70</v>
          </cell>
          <cell r="F2042" t="str">
            <v>Meta 49，C01</v>
          </cell>
          <cell r="G2042">
            <v>20</v>
          </cell>
          <cell r="H2042" t="str">
            <v>土壤</v>
          </cell>
          <cell r="I2042">
            <v>582</v>
          </cell>
          <cell r="J2042">
            <v>3.63</v>
          </cell>
          <cell r="K2042" t="str">
            <v>9.25</v>
          </cell>
          <cell r="L2042" t="str">
            <v>合格</v>
          </cell>
          <cell r="M2042" t="str">
            <v>王建敏/朱绪涛</v>
          </cell>
          <cell r="N2042" t="str">
            <v>20181119-35</v>
          </cell>
          <cell r="O2042" t="str">
            <v>Q sep 20-1000bp</v>
          </cell>
        </row>
        <row r="2043">
          <cell r="E2043" t="str">
            <v>HFMET181118A2216-54-70</v>
          </cell>
          <cell r="F2043" t="str">
            <v>Meta 49，C02</v>
          </cell>
          <cell r="G2043">
            <v>20</v>
          </cell>
          <cell r="H2043" t="str">
            <v>土壤</v>
          </cell>
          <cell r="I2043">
            <v>560</v>
          </cell>
          <cell r="J2043">
            <v>7.52</v>
          </cell>
          <cell r="K2043" t="str">
            <v>19.65</v>
          </cell>
          <cell r="L2043" t="str">
            <v>合格</v>
          </cell>
          <cell r="M2043" t="str">
            <v>王建敏/朱绪涛</v>
          </cell>
          <cell r="N2043" t="str">
            <v>20181119-36</v>
          </cell>
          <cell r="O2043" t="str">
            <v>Q sep 20-1000bp</v>
          </cell>
        </row>
        <row r="2044">
          <cell r="E2044" t="str">
            <v>HFMET181118A2217-55-70</v>
          </cell>
          <cell r="F2044" t="str">
            <v>Meta 49，C03</v>
          </cell>
          <cell r="G2044">
            <v>20</v>
          </cell>
          <cell r="H2044" t="str">
            <v>土壤</v>
          </cell>
          <cell r="I2044">
            <v>573</v>
          </cell>
          <cell r="J2044">
            <v>4.68</v>
          </cell>
          <cell r="K2044" t="str">
            <v>12.17</v>
          </cell>
          <cell r="L2044" t="str">
            <v>合格</v>
          </cell>
          <cell r="M2044" t="str">
            <v>王建敏/朱绪涛</v>
          </cell>
          <cell r="N2044" t="str">
            <v>20181119-37</v>
          </cell>
          <cell r="O2044" t="str">
            <v>Q sep 20-1000bp</v>
          </cell>
        </row>
        <row r="2045">
          <cell r="E2045" t="str">
            <v>HFMET181118A2218-56-70</v>
          </cell>
          <cell r="F2045" t="str">
            <v>Meta 49，C04</v>
          </cell>
          <cell r="G2045">
            <v>20</v>
          </cell>
          <cell r="H2045" t="str">
            <v>土壤</v>
          </cell>
          <cell r="I2045">
            <v>580</v>
          </cell>
          <cell r="J2045">
            <v>4.21</v>
          </cell>
          <cell r="K2045" t="str">
            <v>10.77</v>
          </cell>
          <cell r="L2045" t="str">
            <v>合格</v>
          </cell>
          <cell r="M2045" t="str">
            <v>王建敏/朱绪涛</v>
          </cell>
          <cell r="N2045" t="str">
            <v>20181119-38</v>
          </cell>
          <cell r="O2045" t="str">
            <v>Q sep 20-1000bp</v>
          </cell>
        </row>
        <row r="2046">
          <cell r="E2046" t="str">
            <v>HFMET181118A2219-57-70</v>
          </cell>
          <cell r="F2046" t="str">
            <v>Meta 49，C05</v>
          </cell>
          <cell r="G2046">
            <v>20</v>
          </cell>
          <cell r="H2046" t="str">
            <v>土壤</v>
          </cell>
          <cell r="I2046">
            <v>605</v>
          </cell>
          <cell r="J2046">
            <v>0.78</v>
          </cell>
          <cell r="K2046" t="str">
            <v>1.93</v>
          </cell>
          <cell r="L2046" t="str">
            <v>不合格</v>
          </cell>
          <cell r="M2046" t="str">
            <v>王建敏/朱绪涛</v>
          </cell>
          <cell r="N2046" t="str">
            <v>20181119-39</v>
          </cell>
          <cell r="O2046" t="str">
            <v>Q sep 20-1000bp</v>
          </cell>
        </row>
        <row r="2047">
          <cell r="F2047" t="str">
            <v>Meta 49，C06</v>
          </cell>
          <cell r="G2047">
            <v>20</v>
          </cell>
          <cell r="I2047" t="str">
            <v>无目的峰</v>
          </cell>
          <cell r="J2047">
            <v>0.1</v>
          </cell>
          <cell r="K2047">
            <v>0.28299999999999997</v>
          </cell>
          <cell r="L2047" t="str">
            <v>合格</v>
          </cell>
          <cell r="M2047" t="str">
            <v>王建敏/朱绪涛</v>
          </cell>
          <cell r="N2047" t="str">
            <v>20181119-40</v>
          </cell>
          <cell r="O2047" t="str">
            <v>Q sep 20-1000bp</v>
          </cell>
        </row>
        <row r="2048">
          <cell r="E2048" t="str">
            <v>HFMET181118A2252-51-71</v>
          </cell>
          <cell r="F2048" t="str">
            <v>Meta 49，F02</v>
          </cell>
          <cell r="G2048">
            <v>20</v>
          </cell>
          <cell r="H2048" t="str">
            <v>土壤</v>
          </cell>
          <cell r="I2048" t="str">
            <v>峰形异常</v>
          </cell>
          <cell r="J2048">
            <v>10.53</v>
          </cell>
          <cell r="K2048" t="str">
            <v>49.91</v>
          </cell>
          <cell r="L2048" t="str">
            <v>不合格</v>
          </cell>
          <cell r="M2048" t="str">
            <v>王建敏/朱绪涛</v>
          </cell>
          <cell r="N2048" t="str">
            <v>20181119-72</v>
          </cell>
          <cell r="O2048" t="str">
            <v>Q sep 20-1000bp</v>
          </cell>
        </row>
        <row r="2049">
          <cell r="E2049" t="str">
            <v>HFMET181118A2253-52-71</v>
          </cell>
          <cell r="F2049" t="str">
            <v>Meta 49，F03</v>
          </cell>
          <cell r="G2049">
            <v>20</v>
          </cell>
          <cell r="H2049" t="str">
            <v>土壤</v>
          </cell>
          <cell r="I2049" t="str">
            <v>峰形异常</v>
          </cell>
          <cell r="J2049">
            <v>10.68</v>
          </cell>
          <cell r="K2049" t="str">
            <v>50.77</v>
          </cell>
          <cell r="L2049" t="str">
            <v>不合格</v>
          </cell>
          <cell r="M2049" t="str">
            <v>王建敏/朱绪涛</v>
          </cell>
          <cell r="N2049" t="str">
            <v>20181119-73</v>
          </cell>
          <cell r="O2049" t="str">
            <v>Q sep 20-1000bp</v>
          </cell>
        </row>
        <row r="2050">
          <cell r="E2050" t="str">
            <v>HFMET181118A2254-53-71</v>
          </cell>
          <cell r="F2050" t="str">
            <v>Meta 49，F04</v>
          </cell>
          <cell r="G2050">
            <v>20</v>
          </cell>
          <cell r="H2050" t="str">
            <v>土壤</v>
          </cell>
          <cell r="I2050">
            <v>438</v>
          </cell>
          <cell r="J2050">
            <v>14.56</v>
          </cell>
          <cell r="K2050" t="str">
            <v>55.51</v>
          </cell>
          <cell r="L2050" t="str">
            <v>合格</v>
          </cell>
          <cell r="M2050" t="str">
            <v>王建敏/朱绪涛</v>
          </cell>
          <cell r="N2050" t="str">
            <v>20181119-74</v>
          </cell>
          <cell r="O2050" t="str">
            <v>Q sep 20-1000bp</v>
          </cell>
        </row>
        <row r="2051">
          <cell r="E2051" t="str">
            <v>HFMET181118A2255-54-71</v>
          </cell>
          <cell r="F2051" t="str">
            <v>Meta 49，F05</v>
          </cell>
          <cell r="G2051">
            <v>20</v>
          </cell>
          <cell r="H2051" t="str">
            <v>土壤</v>
          </cell>
          <cell r="I2051" t="str">
            <v>414/446/382</v>
          </cell>
          <cell r="J2051">
            <v>22.52</v>
          </cell>
          <cell r="K2051" t="str">
            <v>87.32</v>
          </cell>
          <cell r="L2051" t="str">
            <v>合格</v>
          </cell>
          <cell r="M2051" t="str">
            <v>王建敏/朱绪涛</v>
          </cell>
          <cell r="N2051" t="str">
            <v>20181119-75</v>
          </cell>
          <cell r="O2051" t="str">
            <v>Q sep 20-1000bp</v>
          </cell>
        </row>
        <row r="2052">
          <cell r="E2052" t="str">
            <v>HFMET181118A2256-55-71</v>
          </cell>
          <cell r="F2052" t="str">
            <v>Meta 49，F06</v>
          </cell>
          <cell r="G2052">
            <v>20</v>
          </cell>
          <cell r="H2052" t="str">
            <v>土壤</v>
          </cell>
          <cell r="I2052" t="str">
            <v>峰形异常</v>
          </cell>
          <cell r="J2052">
            <v>6.31</v>
          </cell>
          <cell r="K2052" t="str">
            <v>29.68</v>
          </cell>
          <cell r="L2052" t="str">
            <v>不合格</v>
          </cell>
          <cell r="M2052" t="str">
            <v>王建敏/朱绪涛</v>
          </cell>
          <cell r="N2052" t="str">
            <v>20181119-76</v>
          </cell>
          <cell r="O2052" t="str">
            <v>Q sep 20-1000bp</v>
          </cell>
        </row>
        <row r="2053">
          <cell r="E2053" t="str">
            <v>HFMET181118A2257-56-71</v>
          </cell>
          <cell r="F2053" t="str">
            <v>Meta 49，F07</v>
          </cell>
          <cell r="G2053">
            <v>20</v>
          </cell>
          <cell r="H2053" t="str">
            <v>土壤</v>
          </cell>
          <cell r="I2053" t="str">
            <v>峰形异常</v>
          </cell>
          <cell r="J2053">
            <v>5.57</v>
          </cell>
          <cell r="K2053" t="str">
            <v>26.16</v>
          </cell>
          <cell r="L2053" t="str">
            <v>不合格</v>
          </cell>
          <cell r="M2053" t="str">
            <v>王建敏/朱绪涛</v>
          </cell>
          <cell r="N2053" t="str">
            <v>20181119-77</v>
          </cell>
          <cell r="O2053" t="str">
            <v>Q sep 20-1000bp</v>
          </cell>
        </row>
        <row r="2054">
          <cell r="E2054" t="str">
            <v>HFMET181118A2258-57-71</v>
          </cell>
          <cell r="F2054" t="str">
            <v>Meta 49，F08</v>
          </cell>
          <cell r="G2054">
            <v>20</v>
          </cell>
          <cell r="H2054" t="str">
            <v>土壤</v>
          </cell>
          <cell r="I2054" t="str">
            <v>峰形异常</v>
          </cell>
          <cell r="J2054">
            <v>9.39</v>
          </cell>
          <cell r="K2054" t="str">
            <v>43.18</v>
          </cell>
          <cell r="L2054" t="str">
            <v>不合格</v>
          </cell>
          <cell r="M2054" t="str">
            <v>王建敏/朱绪涛</v>
          </cell>
          <cell r="N2054" t="str">
            <v>20181119-78</v>
          </cell>
          <cell r="O2054" t="str">
            <v>Q sep 20-1000bp</v>
          </cell>
        </row>
        <row r="2055">
          <cell r="E2055" t="str">
            <v>HFMET181118A2259-58-71</v>
          </cell>
          <cell r="F2055" t="str">
            <v>Meta 49，F09</v>
          </cell>
          <cell r="G2055">
            <v>20</v>
          </cell>
          <cell r="H2055" t="str">
            <v>土壤</v>
          </cell>
          <cell r="I2055">
            <v>420</v>
          </cell>
          <cell r="J2055">
            <v>20.91</v>
          </cell>
          <cell r="K2055" t="str">
            <v>77.00</v>
          </cell>
          <cell r="L2055" t="str">
            <v>合格</v>
          </cell>
          <cell r="M2055" t="str">
            <v>王建敏/朱绪涛</v>
          </cell>
          <cell r="N2055" t="str">
            <v>20181119-79</v>
          </cell>
          <cell r="O2055" t="str">
            <v>Q sep 20-1000bp</v>
          </cell>
        </row>
        <row r="2056">
          <cell r="E2056" t="str">
            <v>HFMET181118A2260-51-72</v>
          </cell>
          <cell r="F2056" t="str">
            <v>Meta 49，F10</v>
          </cell>
          <cell r="G2056">
            <v>20</v>
          </cell>
          <cell r="H2056" t="str">
            <v>土壤</v>
          </cell>
          <cell r="I2056" t="str">
            <v>峰形异常</v>
          </cell>
          <cell r="J2056">
            <v>11.57</v>
          </cell>
          <cell r="K2056" t="str">
            <v>51.91</v>
          </cell>
          <cell r="L2056" t="str">
            <v>不合格</v>
          </cell>
          <cell r="M2056" t="str">
            <v>王建敏/朱绪涛</v>
          </cell>
          <cell r="N2056" t="str">
            <v>20181119-80</v>
          </cell>
          <cell r="O2056" t="str">
            <v>Q sep 20-1000bp</v>
          </cell>
        </row>
        <row r="2057">
          <cell r="E2057" t="str">
            <v>HFMET181118A2261-52-72</v>
          </cell>
          <cell r="F2057" t="str">
            <v>Meta 49，F11</v>
          </cell>
          <cell r="G2057">
            <v>20</v>
          </cell>
          <cell r="H2057" t="str">
            <v>土壤</v>
          </cell>
          <cell r="I2057" t="str">
            <v>430/401</v>
          </cell>
          <cell r="J2057">
            <v>10.63</v>
          </cell>
          <cell r="K2057" t="str">
            <v>40.48</v>
          </cell>
          <cell r="L2057" t="str">
            <v>合格</v>
          </cell>
          <cell r="M2057" t="str">
            <v>王建敏/朱绪涛</v>
          </cell>
          <cell r="N2057" t="str">
            <v>20181119-81</v>
          </cell>
          <cell r="O2057" t="str">
            <v>Q sep 20-1000bp</v>
          </cell>
        </row>
        <row r="2058">
          <cell r="E2058" t="str">
            <v>HFMET181118A2262-53-72</v>
          </cell>
          <cell r="F2058" t="str">
            <v>Meta 49，F12</v>
          </cell>
          <cell r="G2058">
            <v>20</v>
          </cell>
          <cell r="H2058" t="str">
            <v>土壤</v>
          </cell>
          <cell r="I2058" t="str">
            <v>峰形异常</v>
          </cell>
          <cell r="J2058">
            <v>8.94</v>
          </cell>
          <cell r="K2058" t="str">
            <v>38.41</v>
          </cell>
          <cell r="L2058" t="str">
            <v>不合格</v>
          </cell>
          <cell r="M2058" t="str">
            <v>王建敏/朱绪涛</v>
          </cell>
          <cell r="N2058" t="str">
            <v>20181119-82</v>
          </cell>
          <cell r="O2058" t="str">
            <v>Q sep 20-1000bp</v>
          </cell>
        </row>
        <row r="2059">
          <cell r="E2059" t="str">
            <v>HFMET181118A2263-54-72</v>
          </cell>
          <cell r="F2059" t="str">
            <v>Meta 49，G01</v>
          </cell>
          <cell r="G2059">
            <v>20</v>
          </cell>
          <cell r="H2059" t="str">
            <v>土壤</v>
          </cell>
          <cell r="I2059" t="str">
            <v>434/472/398</v>
          </cell>
          <cell r="J2059">
            <v>10.62</v>
          </cell>
          <cell r="K2059" t="str">
            <v>39.24</v>
          </cell>
          <cell r="L2059" t="str">
            <v>合格</v>
          </cell>
          <cell r="M2059" t="str">
            <v>王建敏/朱绪涛</v>
          </cell>
          <cell r="N2059" t="str">
            <v>20181119-83</v>
          </cell>
          <cell r="O2059" t="str">
            <v>Q sep 20-1000bp</v>
          </cell>
        </row>
        <row r="2060">
          <cell r="E2060" t="str">
            <v>HFMET181118A2264-55-72</v>
          </cell>
          <cell r="F2060" t="str">
            <v>Meta 49，G02</v>
          </cell>
          <cell r="G2060">
            <v>20</v>
          </cell>
          <cell r="H2060" t="str">
            <v>土壤</v>
          </cell>
          <cell r="I2060" t="str">
            <v>400/434/370</v>
          </cell>
          <cell r="J2060">
            <v>12.89</v>
          </cell>
          <cell r="K2060" t="str">
            <v>49.15</v>
          </cell>
          <cell r="L2060" t="str">
            <v>合格</v>
          </cell>
          <cell r="M2060" t="str">
            <v>王建敏/朱绪涛</v>
          </cell>
          <cell r="N2060" t="str">
            <v>20181119-84</v>
          </cell>
          <cell r="O2060" t="str">
            <v>Q sep 20-1000bp</v>
          </cell>
        </row>
        <row r="2061">
          <cell r="E2061" t="str">
            <v>HFMET181118A2265-56-72</v>
          </cell>
          <cell r="F2061" t="str">
            <v>Meta 49，G03</v>
          </cell>
          <cell r="G2061">
            <v>20</v>
          </cell>
          <cell r="H2061" t="str">
            <v>土壤</v>
          </cell>
          <cell r="I2061" t="str">
            <v>433/401</v>
          </cell>
          <cell r="J2061">
            <v>10.69</v>
          </cell>
          <cell r="K2061" t="str">
            <v>40.03</v>
          </cell>
          <cell r="L2061" t="str">
            <v>合格</v>
          </cell>
          <cell r="M2061" t="str">
            <v>王建敏/朱绪涛</v>
          </cell>
          <cell r="N2061" t="str">
            <v>20181119-85</v>
          </cell>
          <cell r="O2061" t="str">
            <v>Q sep 20-1000bp</v>
          </cell>
        </row>
        <row r="2062">
          <cell r="E2062" t="str">
            <v>HFMET181118A2266-57-72</v>
          </cell>
          <cell r="F2062" t="str">
            <v>Meta 49，G04</v>
          </cell>
          <cell r="G2062">
            <v>20</v>
          </cell>
          <cell r="H2062" t="str">
            <v>土壤</v>
          </cell>
          <cell r="I2062" t="str">
            <v>400/428</v>
          </cell>
          <cell r="J2062">
            <v>10.33</v>
          </cell>
          <cell r="K2062" t="str">
            <v>40.15</v>
          </cell>
          <cell r="L2062" t="str">
            <v>合格</v>
          </cell>
          <cell r="M2062" t="str">
            <v>王建敏/朱绪涛</v>
          </cell>
          <cell r="N2062" t="str">
            <v>20181119-86</v>
          </cell>
          <cell r="O2062" t="str">
            <v>Q sep 20-1000bp</v>
          </cell>
        </row>
        <row r="2063">
          <cell r="E2063" t="str">
            <v>HFMET181118A2267-58-72</v>
          </cell>
          <cell r="F2063" t="str">
            <v>Meta 49，G05</v>
          </cell>
          <cell r="G2063">
            <v>20</v>
          </cell>
          <cell r="H2063" t="str">
            <v>土壤</v>
          </cell>
          <cell r="I2063" t="str">
            <v>422/396</v>
          </cell>
          <cell r="J2063">
            <v>14.96</v>
          </cell>
          <cell r="K2063" t="str">
            <v>56.20</v>
          </cell>
          <cell r="L2063" t="str">
            <v>合格</v>
          </cell>
          <cell r="M2063" t="str">
            <v>王建敏/朱绪涛</v>
          </cell>
          <cell r="N2063" t="str">
            <v>20181119-87</v>
          </cell>
          <cell r="O2063" t="str">
            <v>Q sep 20-1000bp</v>
          </cell>
        </row>
        <row r="2064">
          <cell r="E2064" t="str">
            <v>HFMET181118A2268-51-73</v>
          </cell>
          <cell r="F2064" t="str">
            <v>Meta 49，G06</v>
          </cell>
          <cell r="G2064">
            <v>20</v>
          </cell>
          <cell r="H2064" t="str">
            <v>土壤</v>
          </cell>
          <cell r="I2064">
            <v>431</v>
          </cell>
          <cell r="J2064">
            <v>14.11</v>
          </cell>
          <cell r="K2064" t="str">
            <v>52.76</v>
          </cell>
          <cell r="L2064" t="str">
            <v>合格</v>
          </cell>
          <cell r="M2064" t="str">
            <v>王建敏/朱绪涛</v>
          </cell>
          <cell r="N2064" t="str">
            <v>20181119-88</v>
          </cell>
          <cell r="O2064" t="str">
            <v>Q sep 20-1000bp</v>
          </cell>
        </row>
        <row r="2065">
          <cell r="E2065" t="str">
            <v>HFMET181118A2269-52-73</v>
          </cell>
          <cell r="F2065" t="str">
            <v>Meta 49，G07</v>
          </cell>
          <cell r="G2065">
            <v>20</v>
          </cell>
          <cell r="H2065" t="str">
            <v>土壤</v>
          </cell>
          <cell r="I2065" t="str">
            <v>428/389</v>
          </cell>
          <cell r="J2065">
            <v>11.23</v>
          </cell>
          <cell r="K2065" t="str">
            <v>42.92</v>
          </cell>
          <cell r="L2065" t="str">
            <v>合格</v>
          </cell>
          <cell r="M2065" t="str">
            <v>王建敏/朱绪涛</v>
          </cell>
          <cell r="N2065" t="str">
            <v>20181119-89</v>
          </cell>
          <cell r="O2065" t="str">
            <v>Q sep 20-1000bp</v>
          </cell>
        </row>
        <row r="2066">
          <cell r="E2066" t="str">
            <v>HFMET181118A2270-53-73</v>
          </cell>
          <cell r="F2066" t="str">
            <v>Meta 49，G08</v>
          </cell>
          <cell r="G2066">
            <v>20</v>
          </cell>
          <cell r="H2066" t="str">
            <v>土壤</v>
          </cell>
          <cell r="I2066" t="str">
            <v>峰形异常</v>
          </cell>
          <cell r="J2066">
            <v>10.130000000000001</v>
          </cell>
          <cell r="K2066" t="str">
            <v>45.95</v>
          </cell>
          <cell r="L2066" t="str">
            <v>不合格</v>
          </cell>
          <cell r="M2066" t="str">
            <v>王建敏/朱绪涛</v>
          </cell>
          <cell r="N2066" t="str">
            <v>20181119-90</v>
          </cell>
          <cell r="O2066" t="str">
            <v>Q sep 20-1000bp</v>
          </cell>
        </row>
        <row r="2067">
          <cell r="E2067" t="str">
            <v>HFMET181118A2271-53-73</v>
          </cell>
          <cell r="F2067" t="str">
            <v>Meta 49，G09</v>
          </cell>
          <cell r="G2067">
            <v>20</v>
          </cell>
          <cell r="I2067" t="str">
            <v>无目的峰</v>
          </cell>
          <cell r="J2067">
            <v>3.6200000000000003E-2</v>
          </cell>
          <cell r="K2067">
            <v>0.102446</v>
          </cell>
          <cell r="L2067" t="str">
            <v>合格</v>
          </cell>
          <cell r="M2067" t="str">
            <v>王建敏/朱绪涛</v>
          </cell>
          <cell r="N2067" t="str">
            <v>20181119-91</v>
          </cell>
          <cell r="O2067" t="str">
            <v>Q sep 20-1000bp</v>
          </cell>
        </row>
        <row r="2068">
          <cell r="E2068" t="str">
            <v>HFMET181118A2221-96-125</v>
          </cell>
          <cell r="F2068" t="str">
            <v>Meta 49，C07</v>
          </cell>
          <cell r="G2068">
            <v>20</v>
          </cell>
          <cell r="H2068" t="str">
            <v>细菌</v>
          </cell>
          <cell r="I2068">
            <v>559</v>
          </cell>
          <cell r="J2068">
            <v>27.4</v>
          </cell>
          <cell r="K2068" t="str">
            <v>71.18</v>
          </cell>
          <cell r="L2068" t="str">
            <v>合格</v>
          </cell>
          <cell r="M2068" t="str">
            <v>王建敏/朱绪涛</v>
          </cell>
          <cell r="N2068" t="str">
            <v>20181119-41</v>
          </cell>
          <cell r="O2068" t="str">
            <v>Q sep 20-1000bp</v>
          </cell>
        </row>
        <row r="2069">
          <cell r="E2069" t="str">
            <v>HFMET181118A2222-97-125</v>
          </cell>
          <cell r="F2069" t="str">
            <v>Meta 49，C08</v>
          </cell>
          <cell r="G2069">
            <v>20</v>
          </cell>
          <cell r="H2069" t="str">
            <v>细菌</v>
          </cell>
          <cell r="I2069">
            <v>573</v>
          </cell>
          <cell r="J2069">
            <v>22.24</v>
          </cell>
          <cell r="K2069" t="str">
            <v>56.72</v>
          </cell>
          <cell r="L2069" t="str">
            <v>合格</v>
          </cell>
          <cell r="M2069" t="str">
            <v>王建敏/朱绪涛</v>
          </cell>
          <cell r="N2069" t="str">
            <v>20181119-42</v>
          </cell>
          <cell r="O2069" t="str">
            <v>Q sep 20-1000bp</v>
          </cell>
        </row>
        <row r="2070">
          <cell r="E2070" t="str">
            <v>HFMET181118A2223-98-125</v>
          </cell>
          <cell r="F2070" t="str">
            <v>Meta 49，C09</v>
          </cell>
          <cell r="G2070">
            <v>20</v>
          </cell>
          <cell r="H2070" t="str">
            <v>细菌</v>
          </cell>
          <cell r="I2070">
            <v>574</v>
          </cell>
          <cell r="J2070">
            <v>19.84</v>
          </cell>
          <cell r="K2070" t="str">
            <v>50.60</v>
          </cell>
          <cell r="L2070" t="str">
            <v>合格</v>
          </cell>
          <cell r="M2070" t="str">
            <v>王建敏/朱绪涛</v>
          </cell>
          <cell r="N2070" t="str">
            <v>20181119-43</v>
          </cell>
          <cell r="O2070" t="str">
            <v>Q sep 20-1000bp</v>
          </cell>
        </row>
        <row r="2071">
          <cell r="E2071" t="str">
            <v>HFMET181118A2224-64-78</v>
          </cell>
          <cell r="F2071" t="str">
            <v>Meta 49，C10</v>
          </cell>
          <cell r="G2071">
            <v>20</v>
          </cell>
          <cell r="H2071" t="str">
            <v>细菌</v>
          </cell>
          <cell r="I2071">
            <v>338</v>
          </cell>
          <cell r="J2071">
            <v>34.01</v>
          </cell>
          <cell r="K2071" t="str">
            <v>151.15</v>
          </cell>
          <cell r="L2071" t="str">
            <v>合格</v>
          </cell>
          <cell r="M2071" t="str">
            <v>王建敏/朱绪涛</v>
          </cell>
          <cell r="N2071" t="str">
            <v>20181119-44</v>
          </cell>
          <cell r="O2071" t="str">
            <v>Q sep 20-1000bp</v>
          </cell>
        </row>
        <row r="2072">
          <cell r="E2072" t="str">
            <v>HFMET181118A2225-65-78</v>
          </cell>
          <cell r="F2072" t="str">
            <v>Meta 49，C11</v>
          </cell>
          <cell r="G2072">
            <v>20</v>
          </cell>
          <cell r="H2072" t="str">
            <v>细菌</v>
          </cell>
          <cell r="I2072">
            <v>342</v>
          </cell>
          <cell r="J2072">
            <v>21.98</v>
          </cell>
          <cell r="K2072" t="str">
            <v>96.85</v>
          </cell>
          <cell r="L2072" t="str">
            <v>合格</v>
          </cell>
          <cell r="M2072" t="str">
            <v>王建敏/朱绪涛</v>
          </cell>
          <cell r="N2072" t="str">
            <v>20181119-45</v>
          </cell>
          <cell r="O2072" t="str">
            <v>Q sep 20-1000bp</v>
          </cell>
        </row>
        <row r="2073">
          <cell r="E2073" t="str">
            <v>HFMET181118A2226-66-78</v>
          </cell>
          <cell r="F2073" t="str">
            <v>Meta 49，C12</v>
          </cell>
          <cell r="G2073">
            <v>20</v>
          </cell>
          <cell r="H2073" t="str">
            <v>细菌</v>
          </cell>
          <cell r="I2073">
            <v>344</v>
          </cell>
          <cell r="J2073">
            <v>17.47</v>
          </cell>
          <cell r="K2073" t="str">
            <v>76.48</v>
          </cell>
          <cell r="L2073" t="str">
            <v>合格</v>
          </cell>
          <cell r="M2073" t="str">
            <v>王建敏/朱绪涛</v>
          </cell>
          <cell r="N2073" t="str">
            <v>20181119-46</v>
          </cell>
          <cell r="O2073" t="str">
            <v>Q sep 20-1000bp</v>
          </cell>
        </row>
        <row r="2074">
          <cell r="E2074" t="str">
            <v>HFMET181118A2227-66-78</v>
          </cell>
          <cell r="F2074" t="str">
            <v>Meta 49，D01</v>
          </cell>
          <cell r="G2074">
            <v>20</v>
          </cell>
          <cell r="I2074" t="str">
            <v>无目的峰</v>
          </cell>
          <cell r="J2074">
            <v>0</v>
          </cell>
          <cell r="K2074">
            <v>0</v>
          </cell>
          <cell r="L2074" t="str">
            <v>合格</v>
          </cell>
          <cell r="M2074" t="str">
            <v>王建敏/朱绪涛</v>
          </cell>
          <cell r="N2074" t="str">
            <v>20181119-47</v>
          </cell>
          <cell r="O2074" t="str">
            <v>Q sep 20-1000bp</v>
          </cell>
        </row>
        <row r="2075">
          <cell r="E2075" t="str">
            <v>HFMET181118A2228-99-125</v>
          </cell>
          <cell r="F2075" t="str">
            <v>Meta 49，D02</v>
          </cell>
          <cell r="G2075">
            <v>20</v>
          </cell>
          <cell r="H2075" t="str">
            <v>土壤</v>
          </cell>
          <cell r="I2075">
            <v>590</v>
          </cell>
          <cell r="J2075">
            <v>8.9600000000000009</v>
          </cell>
          <cell r="K2075" t="str">
            <v>22.67</v>
          </cell>
          <cell r="L2075" t="str">
            <v>合格</v>
          </cell>
          <cell r="M2075" t="str">
            <v>王建敏/朱绪涛</v>
          </cell>
          <cell r="N2075" t="str">
            <v>20181119-48</v>
          </cell>
          <cell r="O2075" t="str">
            <v>Q sep 20-1000bp</v>
          </cell>
        </row>
        <row r="2076">
          <cell r="E2076" t="str">
            <v>HFMET181118A2229-100-125</v>
          </cell>
          <cell r="F2076" t="str">
            <v>Meta 49，D03</v>
          </cell>
          <cell r="G2076">
            <v>20</v>
          </cell>
          <cell r="H2076" t="str">
            <v>土壤</v>
          </cell>
          <cell r="I2076">
            <v>603</v>
          </cell>
          <cell r="J2076">
            <v>4.7</v>
          </cell>
          <cell r="K2076" t="str">
            <v>11.74</v>
          </cell>
          <cell r="L2076" t="str">
            <v>合格</v>
          </cell>
          <cell r="M2076" t="str">
            <v>王建敏/朱绪涛</v>
          </cell>
          <cell r="N2076" t="str">
            <v>20181119-49</v>
          </cell>
          <cell r="O2076" t="str">
            <v>Q sep 20-1000bp</v>
          </cell>
        </row>
        <row r="2077">
          <cell r="E2077" t="str">
            <v>HFMET181118A2230-101-125</v>
          </cell>
          <cell r="F2077" t="str">
            <v>Meta 49，D04</v>
          </cell>
          <cell r="G2077">
            <v>20</v>
          </cell>
          <cell r="H2077" t="str">
            <v>土壤</v>
          </cell>
          <cell r="I2077" t="str">
            <v>无目的峰</v>
          </cell>
          <cell r="J2077">
            <v>0.08</v>
          </cell>
          <cell r="K2077" t="str">
            <v>0.20</v>
          </cell>
          <cell r="L2077" t="str">
            <v>不合格</v>
          </cell>
          <cell r="M2077" t="str">
            <v>王建敏/朱绪涛</v>
          </cell>
          <cell r="N2077" t="str">
            <v>20181119-50</v>
          </cell>
          <cell r="O2077" t="str">
            <v>Q sep 20-1000bp</v>
          </cell>
        </row>
        <row r="2078">
          <cell r="E2078" t="str">
            <v>HFMET181118A2231-102-125</v>
          </cell>
          <cell r="F2078" t="str">
            <v>Meta 49，D05</v>
          </cell>
          <cell r="G2078">
            <v>20</v>
          </cell>
          <cell r="H2078" t="str">
            <v>土壤</v>
          </cell>
          <cell r="I2078" t="str">
            <v>无目的峰</v>
          </cell>
          <cell r="J2078">
            <v>0.13</v>
          </cell>
          <cell r="K2078" t="str">
            <v>0.34</v>
          </cell>
          <cell r="L2078" t="str">
            <v>不合格</v>
          </cell>
          <cell r="M2078" t="str">
            <v>王建敏/朱绪涛</v>
          </cell>
          <cell r="N2078" t="str">
            <v>20181119-51</v>
          </cell>
          <cell r="O2078" t="str">
            <v>Q sep 20-1000bp</v>
          </cell>
        </row>
        <row r="2079">
          <cell r="E2079" t="str">
            <v>HFMET181118A2232-103-125</v>
          </cell>
          <cell r="F2079" t="str">
            <v>Meta 49，D06</v>
          </cell>
          <cell r="G2079">
            <v>20</v>
          </cell>
          <cell r="H2079" t="str">
            <v>土壤</v>
          </cell>
          <cell r="I2079" t="str">
            <v>无目的峰</v>
          </cell>
          <cell r="J2079">
            <v>0.12</v>
          </cell>
          <cell r="K2079" t="str">
            <v>0.30</v>
          </cell>
          <cell r="L2079" t="str">
            <v>不合格</v>
          </cell>
          <cell r="M2079" t="str">
            <v>王建敏/朱绪涛</v>
          </cell>
          <cell r="N2079" t="str">
            <v>20181119-52</v>
          </cell>
          <cell r="O2079" t="str">
            <v>Q sep 20-1000bp</v>
          </cell>
        </row>
        <row r="2080">
          <cell r="E2080" t="str">
            <v>HFMET181118A2233-104-125</v>
          </cell>
          <cell r="F2080" t="str">
            <v>Meta 49，D07</v>
          </cell>
          <cell r="G2080">
            <v>20</v>
          </cell>
          <cell r="H2080" t="str">
            <v>土壤</v>
          </cell>
          <cell r="I2080">
            <v>596</v>
          </cell>
          <cell r="J2080">
            <v>9.1</v>
          </cell>
          <cell r="K2080" t="str">
            <v>22.48</v>
          </cell>
          <cell r="L2080" t="str">
            <v>合格</v>
          </cell>
          <cell r="M2080" t="str">
            <v>王建敏/朱绪涛</v>
          </cell>
          <cell r="N2080" t="str">
            <v>20181119-53</v>
          </cell>
          <cell r="O2080" t="str">
            <v>Q sep 20-1000bp</v>
          </cell>
        </row>
        <row r="2081">
          <cell r="E2081" t="str">
            <v>HFMET181118A2234-105-125</v>
          </cell>
          <cell r="F2081" t="str">
            <v>Meta 49，D08</v>
          </cell>
          <cell r="G2081">
            <v>20</v>
          </cell>
          <cell r="H2081" t="str">
            <v>土壤</v>
          </cell>
          <cell r="I2081">
            <v>583</v>
          </cell>
          <cell r="J2081">
            <v>12.72</v>
          </cell>
          <cell r="K2081" t="str">
            <v>32.26</v>
          </cell>
          <cell r="L2081" t="str">
            <v>合格</v>
          </cell>
          <cell r="M2081" t="str">
            <v>王建敏/朱绪涛</v>
          </cell>
          <cell r="N2081" t="str">
            <v>20181119-54</v>
          </cell>
          <cell r="O2081" t="str">
            <v>Q sep 20-1000bp</v>
          </cell>
        </row>
        <row r="2082">
          <cell r="E2082" t="str">
            <v>HFMET181118A2235-106-125</v>
          </cell>
          <cell r="F2082" t="str">
            <v>Meta 49，D09</v>
          </cell>
          <cell r="G2082">
            <v>20</v>
          </cell>
          <cell r="H2082" t="str">
            <v>土壤</v>
          </cell>
          <cell r="I2082">
            <v>597</v>
          </cell>
          <cell r="J2082">
            <v>6.73</v>
          </cell>
          <cell r="K2082" t="str">
            <v>16.52</v>
          </cell>
          <cell r="L2082" t="str">
            <v>合格</v>
          </cell>
          <cell r="M2082" t="str">
            <v>王建敏/朱绪涛</v>
          </cell>
          <cell r="N2082" t="str">
            <v>20181119-55</v>
          </cell>
          <cell r="O2082" t="str">
            <v>Q sep 20-1000bp</v>
          </cell>
        </row>
        <row r="2083">
          <cell r="E2083" t="str">
            <v>HFMET181118A2236-87-127</v>
          </cell>
          <cell r="F2083" t="str">
            <v>Meta 49，D10</v>
          </cell>
          <cell r="G2083">
            <v>20</v>
          </cell>
          <cell r="H2083" t="str">
            <v>土壤</v>
          </cell>
          <cell r="I2083" t="str">
            <v>无目的峰</v>
          </cell>
          <cell r="J2083">
            <v>0.14000000000000001</v>
          </cell>
          <cell r="K2083" t="str">
            <v>0.36</v>
          </cell>
          <cell r="L2083" t="str">
            <v>不合格</v>
          </cell>
          <cell r="M2083" t="str">
            <v>王建敏/朱绪涛</v>
          </cell>
          <cell r="N2083" t="str">
            <v>20181119-56</v>
          </cell>
          <cell r="O2083" t="str">
            <v>Q sep 20-1000bp</v>
          </cell>
        </row>
        <row r="2084">
          <cell r="E2084" t="str">
            <v>HFMET181118A2237-88-127</v>
          </cell>
          <cell r="F2084" t="str">
            <v>Meta 49，D11</v>
          </cell>
          <cell r="G2084">
            <v>20</v>
          </cell>
          <cell r="H2084" t="str">
            <v>土壤</v>
          </cell>
          <cell r="I2084" t="str">
            <v>无目的峰</v>
          </cell>
          <cell r="J2084">
            <v>0.02</v>
          </cell>
          <cell r="K2084" t="str">
            <v>0.04</v>
          </cell>
          <cell r="L2084" t="str">
            <v>不合格</v>
          </cell>
          <cell r="M2084" t="str">
            <v>王建敏/朱绪涛</v>
          </cell>
          <cell r="N2084" t="str">
            <v>20181119-57</v>
          </cell>
          <cell r="O2084" t="str">
            <v>Q sep 20-1000bp</v>
          </cell>
        </row>
        <row r="2085">
          <cell r="E2085" t="str">
            <v>HFMET181118A2238-89-127</v>
          </cell>
          <cell r="F2085" t="str">
            <v>Meta 49，D12</v>
          </cell>
          <cell r="G2085">
            <v>20</v>
          </cell>
          <cell r="H2085" t="str">
            <v>土壤</v>
          </cell>
          <cell r="I2085" t="str">
            <v>无目的峰</v>
          </cell>
          <cell r="J2085">
            <v>7.0000000000000007E-2</v>
          </cell>
          <cell r="K2085" t="str">
            <v>0.18</v>
          </cell>
          <cell r="L2085" t="str">
            <v>不合格</v>
          </cell>
          <cell r="M2085" t="str">
            <v>王建敏/朱绪涛</v>
          </cell>
          <cell r="N2085" t="str">
            <v>20181119-58</v>
          </cell>
          <cell r="O2085" t="str">
            <v>Q sep 20-1000bp</v>
          </cell>
        </row>
        <row r="2086">
          <cell r="E2086" t="str">
            <v>HFMET181118A2239-90-127</v>
          </cell>
          <cell r="F2086" t="str">
            <v>Meta 49，E01</v>
          </cell>
          <cell r="G2086">
            <v>20</v>
          </cell>
          <cell r="H2086" t="str">
            <v>土壤</v>
          </cell>
          <cell r="I2086" t="str">
            <v>无目的峰</v>
          </cell>
          <cell r="J2086">
            <v>0.08</v>
          </cell>
          <cell r="K2086" t="str">
            <v>0.19</v>
          </cell>
          <cell r="L2086" t="str">
            <v>不合格</v>
          </cell>
          <cell r="M2086" t="str">
            <v>王建敏/朱绪涛</v>
          </cell>
          <cell r="N2086" t="str">
            <v>20181119-59</v>
          </cell>
          <cell r="O2086" t="str">
            <v>Q sep 20-1000bp</v>
          </cell>
        </row>
        <row r="2087">
          <cell r="E2087" t="str">
            <v>HFMET181118A2240-91-127</v>
          </cell>
          <cell r="F2087" t="str">
            <v>Meta 49，E02</v>
          </cell>
          <cell r="G2087">
            <v>20</v>
          </cell>
          <cell r="H2087" t="str">
            <v>土壤</v>
          </cell>
          <cell r="I2087">
            <v>595</v>
          </cell>
          <cell r="J2087">
            <v>7.15</v>
          </cell>
          <cell r="K2087" t="str">
            <v>17.85</v>
          </cell>
          <cell r="L2087" t="str">
            <v>合格</v>
          </cell>
          <cell r="M2087" t="str">
            <v>王建敏/朱绪涛</v>
          </cell>
          <cell r="N2087" t="str">
            <v>20181119-60</v>
          </cell>
          <cell r="O2087" t="str">
            <v>Q sep 20-1000bp</v>
          </cell>
        </row>
        <row r="2088">
          <cell r="E2088" t="str">
            <v>HFMET181118A2241-92-127</v>
          </cell>
          <cell r="F2088" t="str">
            <v>Meta 49，E03</v>
          </cell>
          <cell r="G2088">
            <v>20</v>
          </cell>
          <cell r="H2088" t="str">
            <v>土壤</v>
          </cell>
          <cell r="I2088">
            <v>592</v>
          </cell>
          <cell r="J2088">
            <v>7.34</v>
          </cell>
          <cell r="K2088" t="str">
            <v>18.53</v>
          </cell>
          <cell r="L2088" t="str">
            <v>合格</v>
          </cell>
          <cell r="M2088" t="str">
            <v>王建敏/朱绪涛</v>
          </cell>
          <cell r="N2088" t="str">
            <v>20181119-61</v>
          </cell>
          <cell r="O2088" t="str">
            <v>Q sep 20-1000bp</v>
          </cell>
        </row>
        <row r="2089">
          <cell r="E2089" t="str">
            <v>HFMET181118A2242-93-127</v>
          </cell>
          <cell r="F2089" t="str">
            <v>Meta 49，E04</v>
          </cell>
          <cell r="G2089">
            <v>20</v>
          </cell>
          <cell r="H2089" t="str">
            <v>土壤</v>
          </cell>
          <cell r="I2089" t="str">
            <v>无目的峰</v>
          </cell>
          <cell r="J2089">
            <v>7.0000000000000007E-2</v>
          </cell>
          <cell r="K2089" t="str">
            <v>0.17</v>
          </cell>
          <cell r="L2089" t="str">
            <v>不合格</v>
          </cell>
          <cell r="M2089" t="str">
            <v>王建敏/朱绪涛</v>
          </cell>
          <cell r="N2089" t="str">
            <v>20181119-62</v>
          </cell>
          <cell r="O2089" t="str">
            <v>Q sep 20-1000bp</v>
          </cell>
        </row>
        <row r="2090">
          <cell r="E2090" t="str">
            <v>HFMET181118A2243-94-127</v>
          </cell>
          <cell r="F2090" t="str">
            <v>Meta 49，E05</v>
          </cell>
          <cell r="G2090">
            <v>20</v>
          </cell>
          <cell r="H2090" t="str">
            <v>土壤</v>
          </cell>
          <cell r="I2090" t="str">
            <v>无目的峰</v>
          </cell>
          <cell r="J2090">
            <v>0.06</v>
          </cell>
          <cell r="K2090" t="str">
            <v>0.14</v>
          </cell>
          <cell r="L2090" t="str">
            <v>不合格</v>
          </cell>
          <cell r="M2090" t="str">
            <v>王建敏/朱绪涛</v>
          </cell>
          <cell r="N2090" t="str">
            <v>20181119-63</v>
          </cell>
          <cell r="O2090" t="str">
            <v>Q sep 20-1000bp</v>
          </cell>
        </row>
        <row r="2091">
          <cell r="E2091" t="str">
            <v>HFMET181118A2244-87-128</v>
          </cell>
          <cell r="F2091" t="str">
            <v>Meta 49，E06</v>
          </cell>
          <cell r="G2091">
            <v>20</v>
          </cell>
          <cell r="H2091" t="str">
            <v>土壤</v>
          </cell>
          <cell r="I2091" t="str">
            <v>无目的峰</v>
          </cell>
          <cell r="J2091">
            <v>7.0000000000000007E-2</v>
          </cell>
          <cell r="K2091" t="str">
            <v>0.16</v>
          </cell>
          <cell r="L2091" t="str">
            <v>不合格</v>
          </cell>
          <cell r="M2091" t="str">
            <v>王建敏/朱绪涛</v>
          </cell>
          <cell r="N2091" t="str">
            <v>20181119-64</v>
          </cell>
          <cell r="O2091" t="str">
            <v>Q sep 20-1000bp</v>
          </cell>
        </row>
        <row r="2092">
          <cell r="E2092" t="str">
            <v>HFMET181118A2245-88-128</v>
          </cell>
          <cell r="F2092" t="str">
            <v>Meta 49，E07</v>
          </cell>
          <cell r="G2092">
            <v>20</v>
          </cell>
          <cell r="H2092" t="str">
            <v>土壤</v>
          </cell>
          <cell r="I2092">
            <v>588</v>
          </cell>
          <cell r="J2092">
            <v>10.64</v>
          </cell>
          <cell r="K2092" t="str">
            <v>26.39</v>
          </cell>
          <cell r="L2092" t="str">
            <v>合格</v>
          </cell>
          <cell r="M2092" t="str">
            <v>王建敏/朱绪涛</v>
          </cell>
          <cell r="N2092" t="str">
            <v>20181119-65</v>
          </cell>
          <cell r="O2092" t="str">
            <v>Q sep 20-1000bp</v>
          </cell>
        </row>
        <row r="2093">
          <cell r="E2093" t="str">
            <v>HFMET181118A2246-89-128</v>
          </cell>
          <cell r="F2093" t="str">
            <v>Meta 49，E08</v>
          </cell>
          <cell r="G2093">
            <v>20</v>
          </cell>
          <cell r="H2093" t="str">
            <v>土壤</v>
          </cell>
          <cell r="I2093">
            <v>587</v>
          </cell>
          <cell r="J2093">
            <v>11.21</v>
          </cell>
          <cell r="K2093" t="str">
            <v>27.81</v>
          </cell>
          <cell r="L2093" t="str">
            <v>合格</v>
          </cell>
          <cell r="M2093" t="str">
            <v>王建敏/朱绪涛</v>
          </cell>
          <cell r="N2093" t="str">
            <v>20181119-66</v>
          </cell>
          <cell r="O2093" t="str">
            <v>Q sep 20-1000bp</v>
          </cell>
        </row>
        <row r="2094">
          <cell r="E2094" t="str">
            <v>HFMET181118A2247-90-128</v>
          </cell>
          <cell r="F2094" t="str">
            <v>Meta 49，E09</v>
          </cell>
          <cell r="G2094">
            <v>20</v>
          </cell>
          <cell r="H2094" t="str">
            <v>土壤</v>
          </cell>
          <cell r="I2094" t="str">
            <v>无目的峰</v>
          </cell>
          <cell r="J2094">
            <v>0.06</v>
          </cell>
          <cell r="K2094" t="str">
            <v>0.16</v>
          </cell>
          <cell r="L2094" t="str">
            <v>不合格</v>
          </cell>
          <cell r="M2094" t="str">
            <v>王建敏/朱绪涛</v>
          </cell>
          <cell r="N2094" t="str">
            <v>20181119-67</v>
          </cell>
          <cell r="O2094" t="str">
            <v>Q sep 20-1000bp</v>
          </cell>
        </row>
        <row r="2095">
          <cell r="E2095" t="str">
            <v>HFMET181118A2248-91-128</v>
          </cell>
          <cell r="F2095" t="str">
            <v>Meta 49，E10</v>
          </cell>
          <cell r="G2095">
            <v>20</v>
          </cell>
          <cell r="H2095" t="str">
            <v>土壤</v>
          </cell>
          <cell r="I2095" t="str">
            <v>无目的峰</v>
          </cell>
          <cell r="J2095">
            <v>0.06</v>
          </cell>
          <cell r="K2095" t="str">
            <v>0.16</v>
          </cell>
          <cell r="L2095" t="str">
            <v>不合格</v>
          </cell>
          <cell r="M2095" t="str">
            <v>王建敏/朱绪涛</v>
          </cell>
          <cell r="N2095" t="str">
            <v>20181119-68</v>
          </cell>
          <cell r="O2095" t="str">
            <v>Q sep 20-1000bp</v>
          </cell>
        </row>
        <row r="2096">
          <cell r="E2096" t="str">
            <v>HFMET181118A2249-92-128</v>
          </cell>
          <cell r="F2096" t="str">
            <v>Meta 49，E11</v>
          </cell>
          <cell r="G2096">
            <v>20</v>
          </cell>
          <cell r="H2096" t="str">
            <v>土壤</v>
          </cell>
          <cell r="I2096" t="str">
            <v>无目的峰</v>
          </cell>
          <cell r="J2096">
            <v>0.02</v>
          </cell>
          <cell r="K2096" t="str">
            <v>0.04</v>
          </cell>
          <cell r="L2096" t="str">
            <v>不合格</v>
          </cell>
          <cell r="M2096" t="str">
            <v>王建敏/朱绪涛</v>
          </cell>
          <cell r="N2096" t="str">
            <v>20181119-69</v>
          </cell>
          <cell r="O2096" t="str">
            <v>Q sep 20-1000bp</v>
          </cell>
        </row>
        <row r="2097">
          <cell r="E2097" t="str">
            <v>HFMET181118A2250-93-128</v>
          </cell>
          <cell r="F2097" t="str">
            <v>Meta 49，E12</v>
          </cell>
          <cell r="G2097">
            <v>20</v>
          </cell>
          <cell r="H2097" t="str">
            <v>细菌</v>
          </cell>
          <cell r="I2097">
            <v>619</v>
          </cell>
          <cell r="J2097">
            <v>0.86</v>
          </cell>
          <cell r="K2097" t="str">
            <v>2.07</v>
          </cell>
          <cell r="L2097" t="str">
            <v>不合格</v>
          </cell>
          <cell r="M2097" t="str">
            <v>王建敏/朱绪涛</v>
          </cell>
          <cell r="N2097" t="str">
            <v>20181119-70</v>
          </cell>
          <cell r="O2097" t="str">
            <v>Q sep 20-1000bp</v>
          </cell>
        </row>
        <row r="2098">
          <cell r="E2098" t="str">
            <v>HFMET181118A2251-94-128</v>
          </cell>
          <cell r="F2098" t="str">
            <v>Meta 49，F01</v>
          </cell>
          <cell r="G2098">
            <v>20</v>
          </cell>
          <cell r="H2098" t="str">
            <v>细菌</v>
          </cell>
          <cell r="I2098">
            <v>608</v>
          </cell>
          <cell r="J2098">
            <v>2.63</v>
          </cell>
          <cell r="K2098" t="str">
            <v>6.42</v>
          </cell>
          <cell r="L2098" t="str">
            <v>合格</v>
          </cell>
          <cell r="M2098" t="str">
            <v>王建敏/朱绪涛</v>
          </cell>
          <cell r="N2098" t="str">
            <v>20181119-71</v>
          </cell>
          <cell r="O2098" t="str">
            <v>Q sep 20-1000bp</v>
          </cell>
        </row>
        <row r="2099">
          <cell r="H2099" t="str">
            <v>细菌</v>
          </cell>
          <cell r="I2099">
            <v>616</v>
          </cell>
          <cell r="J2099" t="str">
            <v>0.51</v>
          </cell>
          <cell r="K2099" t="str">
            <v>1.22</v>
          </cell>
          <cell r="L2099" t="str">
            <v>不合格</v>
          </cell>
          <cell r="M2099" t="str">
            <v>王建敏/朱绪涛</v>
          </cell>
          <cell r="N2099" t="str">
            <v>20181119-2-1</v>
          </cell>
          <cell r="O2099" t="str">
            <v>Q sep 20-1000bp</v>
          </cell>
        </row>
        <row r="2100">
          <cell r="E2100" t="str">
            <v>HFMET181122A2313-94-116</v>
          </cell>
          <cell r="F2100" t="str">
            <v>Meta 50，C03</v>
          </cell>
          <cell r="G2100">
            <v>20</v>
          </cell>
          <cell r="H2100" t="str">
            <v xml:space="preserve">小菜蛾 </v>
          </cell>
          <cell r="I2100" t="str">
            <v>无目的峰</v>
          </cell>
          <cell r="J2100" t="str">
            <v>0.12</v>
          </cell>
          <cell r="K2100" t="str">
            <v>0.29</v>
          </cell>
          <cell r="L2100" t="str">
            <v>不合格</v>
          </cell>
          <cell r="M2100" t="str">
            <v>王建敏/朱绪涛</v>
          </cell>
          <cell r="N2100" t="str">
            <v>181123003-6</v>
          </cell>
        </row>
        <row r="2101">
          <cell r="E2101" t="str">
            <v>HFMET181122A2314-95-116</v>
          </cell>
          <cell r="F2101" t="str">
            <v>Meta 50，C04</v>
          </cell>
          <cell r="G2101">
            <v>20</v>
          </cell>
          <cell r="H2101" t="str">
            <v xml:space="preserve">小菜蛾 </v>
          </cell>
          <cell r="I2101">
            <v>648</v>
          </cell>
          <cell r="J2101" t="str">
            <v>0.13</v>
          </cell>
          <cell r="K2101" t="str">
            <v>0.31</v>
          </cell>
          <cell r="L2101" t="str">
            <v>不合格</v>
          </cell>
          <cell r="M2101" t="str">
            <v>王建敏/朱绪涛</v>
          </cell>
          <cell r="N2101" t="str">
            <v>181123003-7</v>
          </cell>
        </row>
        <row r="2102">
          <cell r="E2102" t="str">
            <v>HFMET181122A2315-96-116</v>
          </cell>
          <cell r="F2102" t="str">
            <v>Meta 50，C05</v>
          </cell>
          <cell r="G2102">
            <v>20</v>
          </cell>
          <cell r="H2102" t="str">
            <v>盲蝽</v>
          </cell>
          <cell r="I2102" t="str">
            <v>无目的峰</v>
          </cell>
          <cell r="J2102" t="str">
            <v>0.15</v>
          </cell>
          <cell r="K2102" t="str">
            <v>0.36</v>
          </cell>
          <cell r="L2102" t="str">
            <v>不合格</v>
          </cell>
          <cell r="M2102" t="str">
            <v>王建敏/朱绪涛</v>
          </cell>
          <cell r="N2102" t="str">
            <v>181123003-8</v>
          </cell>
        </row>
        <row r="2103">
          <cell r="E2103" t="str">
            <v>HFMET181122A2316-97-116</v>
          </cell>
          <cell r="F2103" t="str">
            <v>Meta 50，C06</v>
          </cell>
          <cell r="G2103">
            <v>20</v>
          </cell>
          <cell r="H2103" t="str">
            <v>盲蝽</v>
          </cell>
          <cell r="I2103" t="str">
            <v>无目的峰</v>
          </cell>
          <cell r="J2103" t="str">
            <v>1.47</v>
          </cell>
          <cell r="K2103" t="str">
            <v>3.69</v>
          </cell>
          <cell r="L2103" t="str">
            <v>不合格</v>
          </cell>
          <cell r="M2103" t="str">
            <v>王建敏/朱绪涛</v>
          </cell>
          <cell r="N2103" t="str">
            <v>181123003-9</v>
          </cell>
        </row>
        <row r="2104">
          <cell r="E2104" t="str">
            <v>HFMET181122A2317-98-116</v>
          </cell>
          <cell r="F2104" t="str">
            <v>Meta 50，C07</v>
          </cell>
          <cell r="G2104">
            <v>20</v>
          </cell>
          <cell r="H2104" t="str">
            <v>盲蝽</v>
          </cell>
          <cell r="I2104">
            <v>453</v>
          </cell>
          <cell r="J2104" t="str">
            <v>8.03</v>
          </cell>
          <cell r="K2104" t="str">
            <v>21.06</v>
          </cell>
          <cell r="L2104" t="str">
            <v>不合格</v>
          </cell>
          <cell r="M2104" t="str">
            <v>王建敏/朱绪涛</v>
          </cell>
          <cell r="N2104" t="str">
            <v>181123003-10</v>
          </cell>
        </row>
        <row r="2105">
          <cell r="E2105" t="str">
            <v>HFMET181122A2318-99-116</v>
          </cell>
          <cell r="F2105" t="str">
            <v>Meta 50，C08</v>
          </cell>
          <cell r="G2105">
            <v>20</v>
          </cell>
          <cell r="H2105" t="str">
            <v>盲蝽</v>
          </cell>
          <cell r="I2105" t="str">
            <v>无目的峰</v>
          </cell>
          <cell r="J2105" t="str">
            <v>0.07</v>
          </cell>
          <cell r="K2105" t="str">
            <v>0.17</v>
          </cell>
          <cell r="L2105" t="str">
            <v>不合格</v>
          </cell>
          <cell r="M2105" t="str">
            <v>王建敏/朱绪涛</v>
          </cell>
          <cell r="N2105" t="str">
            <v>181123003-11</v>
          </cell>
        </row>
        <row r="2106">
          <cell r="E2106" t="str">
            <v>HFMET181122A2319-100-116</v>
          </cell>
          <cell r="F2106" t="str">
            <v>Meta 50，C09</v>
          </cell>
          <cell r="G2106">
            <v>20</v>
          </cell>
          <cell r="H2106" t="str">
            <v>茧蜂</v>
          </cell>
          <cell r="I2106" t="str">
            <v>无目的峰</v>
          </cell>
          <cell r="J2106" t="str">
            <v>0.03</v>
          </cell>
          <cell r="K2106" t="str">
            <v>0.07</v>
          </cell>
          <cell r="L2106" t="str">
            <v>不合格</v>
          </cell>
          <cell r="M2106" t="str">
            <v>王建敏/朱绪涛</v>
          </cell>
          <cell r="N2106" t="str">
            <v>181123003-12</v>
          </cell>
        </row>
        <row r="2107">
          <cell r="E2107" t="str">
            <v>HFMET181122A2320-93-117</v>
          </cell>
          <cell r="F2107" t="str">
            <v>Meta 50，C10</v>
          </cell>
          <cell r="G2107">
            <v>20</v>
          </cell>
          <cell r="H2107" t="str">
            <v>茧蜂</v>
          </cell>
          <cell r="I2107" t="str">
            <v>无目的峰</v>
          </cell>
          <cell r="J2107" t="str">
            <v>0.13</v>
          </cell>
          <cell r="K2107" t="str">
            <v>0.33</v>
          </cell>
          <cell r="L2107" t="str">
            <v>不合格</v>
          </cell>
          <cell r="M2107" t="str">
            <v>王建敏/朱绪涛</v>
          </cell>
          <cell r="N2107" t="str">
            <v>181123003-13</v>
          </cell>
        </row>
        <row r="2108">
          <cell r="E2108" t="str">
            <v>HFMET181122A2321-94-117</v>
          </cell>
          <cell r="F2108" t="str">
            <v>Meta 50，C11</v>
          </cell>
          <cell r="G2108">
            <v>20</v>
          </cell>
          <cell r="H2108" t="str">
            <v>茧蜂</v>
          </cell>
          <cell r="I2108" t="str">
            <v>无目的峰</v>
          </cell>
          <cell r="J2108" t="str">
            <v>0.12</v>
          </cell>
          <cell r="K2108" t="str">
            <v>0.30</v>
          </cell>
          <cell r="L2108" t="str">
            <v>不合格</v>
          </cell>
          <cell r="M2108" t="str">
            <v>王建敏/朱绪涛</v>
          </cell>
          <cell r="N2108" t="str">
            <v>181123003-14</v>
          </cell>
        </row>
        <row r="2109">
          <cell r="E2109" t="str">
            <v>HFMET181122A2322-95-117</v>
          </cell>
          <cell r="F2109" t="str">
            <v>Meta 50，C12</v>
          </cell>
          <cell r="G2109">
            <v>20</v>
          </cell>
          <cell r="H2109" t="str">
            <v>茧蜂</v>
          </cell>
          <cell r="I2109" t="str">
            <v>无目的峰</v>
          </cell>
          <cell r="J2109" t="str">
            <v>0.13</v>
          </cell>
          <cell r="K2109" t="str">
            <v>0.32</v>
          </cell>
          <cell r="L2109" t="str">
            <v>不合格</v>
          </cell>
          <cell r="M2109" t="str">
            <v>王建敏/朱绪涛</v>
          </cell>
          <cell r="N2109" t="str">
            <v>181123003-15</v>
          </cell>
        </row>
        <row r="2110">
          <cell r="E2110" t="str">
            <v>HFMET181122A2323-96-117</v>
          </cell>
          <cell r="F2110" t="str">
            <v>Meta 50，D01</v>
          </cell>
          <cell r="G2110">
            <v>20</v>
          </cell>
          <cell r="H2110" t="str">
            <v>白蚁</v>
          </cell>
          <cell r="I2110" t="str">
            <v>无目的峰</v>
          </cell>
          <cell r="J2110" t="str">
            <v>0.16</v>
          </cell>
          <cell r="K2110" t="str">
            <v>0.40</v>
          </cell>
          <cell r="L2110" t="str">
            <v>不合格</v>
          </cell>
          <cell r="M2110" t="str">
            <v>王建敏/朱绪涛</v>
          </cell>
          <cell r="N2110" t="str">
            <v>181123003-16</v>
          </cell>
        </row>
        <row r="2111">
          <cell r="E2111" t="str">
            <v>HFMET181122A2324-97-117</v>
          </cell>
          <cell r="F2111" t="str">
            <v>Meta 50，D02</v>
          </cell>
          <cell r="G2111">
            <v>20</v>
          </cell>
          <cell r="H2111" t="str">
            <v>白蚁</v>
          </cell>
          <cell r="I2111" t="str">
            <v>无目的峰</v>
          </cell>
          <cell r="J2111" t="str">
            <v>0.13</v>
          </cell>
          <cell r="K2111" t="str">
            <v>0.33</v>
          </cell>
          <cell r="L2111" t="str">
            <v>不合格</v>
          </cell>
          <cell r="M2111" t="str">
            <v>王建敏/朱绪涛</v>
          </cell>
          <cell r="N2111" t="str">
            <v>181123003-17</v>
          </cell>
        </row>
        <row r="2112">
          <cell r="E2112" t="str">
            <v>HFMET181122A2325-98-117</v>
          </cell>
          <cell r="F2112" t="str">
            <v>Meta 50，D03</v>
          </cell>
          <cell r="G2112">
            <v>20</v>
          </cell>
          <cell r="I2112" t="str">
            <v>无目的峰</v>
          </cell>
          <cell r="J2112" t="str">
            <v>0.15</v>
          </cell>
          <cell r="K2112" t="str">
            <v>0.38</v>
          </cell>
          <cell r="L2112" t="str">
            <v>不合格</v>
          </cell>
          <cell r="M2112" t="str">
            <v>王建敏/朱绪涛</v>
          </cell>
          <cell r="N2112" t="str">
            <v>181123003-18</v>
          </cell>
        </row>
        <row r="2113">
          <cell r="E2113" t="str">
            <v>HFMET181122A2326-98-117</v>
          </cell>
          <cell r="F2113" t="str">
            <v>Meta 50，D04</v>
          </cell>
          <cell r="G2113">
            <v>20</v>
          </cell>
          <cell r="I2113" t="str">
            <v>无目的峰</v>
          </cell>
          <cell r="J2113">
            <v>9.1200000000000003E-2</v>
          </cell>
          <cell r="K2113">
            <v>0.25809599999999999</v>
          </cell>
          <cell r="L2113" t="str">
            <v>合格</v>
          </cell>
          <cell r="M2113" t="str">
            <v>王建敏/朱绪涛</v>
          </cell>
          <cell r="N2113" t="str">
            <v>181123003-19</v>
          </cell>
        </row>
        <row r="2114">
          <cell r="E2114" t="str">
            <v>HFMET181123A2626-87-112</v>
          </cell>
          <cell r="F2114" t="str">
            <v>Meta 53，F01</v>
          </cell>
          <cell r="G2114">
            <v>15</v>
          </cell>
          <cell r="H2114" t="str">
            <v>土壤</v>
          </cell>
          <cell r="I2114">
            <v>607</v>
          </cell>
          <cell r="J2114" t="str">
            <v>1.02</v>
          </cell>
          <cell r="K2114" t="str">
            <v>2.47</v>
          </cell>
          <cell r="L2114" t="str">
            <v>合格</v>
          </cell>
          <cell r="M2114" t="str">
            <v>苗娟/王璇</v>
          </cell>
          <cell r="N2114" t="str">
            <v>181123003-20</v>
          </cell>
        </row>
        <row r="2115">
          <cell r="E2115" t="str">
            <v>HFMET181123A2627-88-112</v>
          </cell>
          <cell r="F2115" t="str">
            <v>Meta 53，F02</v>
          </cell>
          <cell r="G2115">
            <v>15</v>
          </cell>
          <cell r="H2115" t="str">
            <v>土壤</v>
          </cell>
          <cell r="I2115">
            <v>599</v>
          </cell>
          <cell r="J2115" t="str">
            <v>2.88</v>
          </cell>
          <cell r="K2115" t="str">
            <v>7.03</v>
          </cell>
          <cell r="L2115" t="str">
            <v>合格</v>
          </cell>
          <cell r="M2115" t="str">
            <v>苗娟/王璇</v>
          </cell>
          <cell r="N2115" t="str">
            <v>181123003-21</v>
          </cell>
        </row>
        <row r="2116">
          <cell r="E2116" t="str">
            <v>HFMET181123A2628-89-112</v>
          </cell>
          <cell r="F2116" t="str">
            <v>Meta 53，F03</v>
          </cell>
          <cell r="G2116">
            <v>15</v>
          </cell>
          <cell r="H2116" t="str">
            <v>土壤</v>
          </cell>
          <cell r="I2116">
            <v>593</v>
          </cell>
          <cell r="J2116" t="str">
            <v>6.84</v>
          </cell>
          <cell r="K2116" t="str">
            <v>16.89</v>
          </cell>
          <cell r="L2116" t="str">
            <v>合格</v>
          </cell>
          <cell r="M2116" t="str">
            <v>苗娟/王璇</v>
          </cell>
          <cell r="N2116" t="str">
            <v>181123003-22</v>
          </cell>
        </row>
        <row r="2117">
          <cell r="E2117" t="str">
            <v>HFMET181123A2629-54-73</v>
          </cell>
          <cell r="F2117" t="str">
            <v>Meta 53，F04</v>
          </cell>
          <cell r="G2117">
            <v>15</v>
          </cell>
          <cell r="H2117" t="str">
            <v>土壤</v>
          </cell>
          <cell r="I2117" t="str">
            <v>无目的峰</v>
          </cell>
          <cell r="J2117" t="str">
            <v>0.12</v>
          </cell>
          <cell r="K2117" t="str">
            <v>0.31</v>
          </cell>
          <cell r="L2117" t="str">
            <v>不合格</v>
          </cell>
          <cell r="M2117" t="str">
            <v>苗娟/王璇</v>
          </cell>
          <cell r="N2117" t="str">
            <v>181123003-23</v>
          </cell>
        </row>
        <row r="2118">
          <cell r="E2118" t="str">
            <v>HFMET181123A2630-55-73</v>
          </cell>
          <cell r="F2118" t="str">
            <v>Meta 53，F05</v>
          </cell>
          <cell r="G2118">
            <v>15</v>
          </cell>
          <cell r="H2118" t="str">
            <v>土壤</v>
          </cell>
          <cell r="I2118" t="str">
            <v>无目的峰</v>
          </cell>
          <cell r="J2118" t="str">
            <v>0.14</v>
          </cell>
          <cell r="K2118" t="str">
            <v>0.33</v>
          </cell>
          <cell r="L2118" t="str">
            <v>不合格</v>
          </cell>
          <cell r="M2118" t="str">
            <v>苗娟/王璇</v>
          </cell>
          <cell r="N2118" t="str">
            <v>181123003-24</v>
          </cell>
        </row>
        <row r="2119">
          <cell r="E2119" t="str">
            <v>HFMET181123A2631-56-73</v>
          </cell>
          <cell r="F2119" t="str">
            <v>Meta 53，F06</v>
          </cell>
          <cell r="G2119">
            <v>15</v>
          </cell>
          <cell r="H2119" t="str">
            <v>土壤</v>
          </cell>
          <cell r="I2119" t="str">
            <v>无目的峰</v>
          </cell>
          <cell r="J2119" t="str">
            <v>0.13</v>
          </cell>
          <cell r="K2119" t="str">
            <v>0.32</v>
          </cell>
          <cell r="L2119" t="str">
            <v>不合格</v>
          </cell>
          <cell r="M2119" t="str">
            <v>苗娟/王璇</v>
          </cell>
          <cell r="N2119" t="str">
            <v>181123003-25</v>
          </cell>
        </row>
        <row r="2120">
          <cell r="E2120" t="str">
            <v>HFMET181123A2632-57-73</v>
          </cell>
          <cell r="F2120" t="str">
            <v>Meta 53，F07</v>
          </cell>
          <cell r="G2120">
            <v>15</v>
          </cell>
          <cell r="H2120" t="str">
            <v>土壤</v>
          </cell>
          <cell r="I2120">
            <v>619</v>
          </cell>
          <cell r="J2120" t="str">
            <v>1.65</v>
          </cell>
          <cell r="K2120" t="str">
            <v>3.89</v>
          </cell>
          <cell r="L2120" t="str">
            <v>合格</v>
          </cell>
          <cell r="M2120" t="str">
            <v>苗娟/王璇</v>
          </cell>
          <cell r="N2120" t="str">
            <v>181123003-26</v>
          </cell>
        </row>
        <row r="2121">
          <cell r="E2121" t="str">
            <v>HFMET181123A2633-58-73</v>
          </cell>
          <cell r="F2121" t="str">
            <v>Meta 53，F08</v>
          </cell>
          <cell r="G2121">
            <v>15</v>
          </cell>
          <cell r="H2121" t="str">
            <v>土壤</v>
          </cell>
          <cell r="I2121">
            <v>619</v>
          </cell>
          <cell r="J2121" t="str">
            <v>9.64</v>
          </cell>
          <cell r="K2121" t="str">
            <v>22.74</v>
          </cell>
          <cell r="L2121" t="str">
            <v>合格</v>
          </cell>
          <cell r="M2121" t="str">
            <v>苗娟/王璇</v>
          </cell>
          <cell r="N2121" t="str">
            <v>181123003-27</v>
          </cell>
        </row>
        <row r="2122">
          <cell r="E2122" t="str">
            <v>HFMET181123A2634-51-76</v>
          </cell>
          <cell r="F2122" t="str">
            <v>Meta 53，F11</v>
          </cell>
          <cell r="G2122">
            <v>15</v>
          </cell>
          <cell r="H2122" t="str">
            <v>土壤</v>
          </cell>
          <cell r="I2122">
            <v>327</v>
          </cell>
          <cell r="J2122" t="str">
            <v>7.24</v>
          </cell>
          <cell r="K2122" t="str">
            <v>32.03</v>
          </cell>
          <cell r="L2122" t="str">
            <v>合格</v>
          </cell>
          <cell r="M2122" t="str">
            <v>苗娟/王璇</v>
          </cell>
          <cell r="N2122" t="str">
            <v>181123003-28</v>
          </cell>
        </row>
        <row r="2123">
          <cell r="E2123" t="str">
            <v>HFMET181123A2635-52-76</v>
          </cell>
          <cell r="F2123" t="str">
            <v>Meta 53，F12</v>
          </cell>
          <cell r="G2123">
            <v>15</v>
          </cell>
          <cell r="H2123" t="str">
            <v>土壤</v>
          </cell>
          <cell r="I2123" t="str">
            <v>峰形异常</v>
          </cell>
          <cell r="J2123" t="str">
            <v>3.22</v>
          </cell>
          <cell r="K2123" t="str">
            <v>14.80</v>
          </cell>
          <cell r="L2123" t="str">
            <v>不合格</v>
          </cell>
          <cell r="M2123" t="str">
            <v>苗娟/王璇</v>
          </cell>
          <cell r="N2123" t="str">
            <v>181123003-29</v>
          </cell>
        </row>
        <row r="2124">
          <cell r="E2124" t="str">
            <v>HFMET181123A2636-53-76</v>
          </cell>
          <cell r="F2124" t="str">
            <v>Meta 53，G01</v>
          </cell>
          <cell r="G2124">
            <v>15</v>
          </cell>
          <cell r="H2124" t="str">
            <v>土壤</v>
          </cell>
          <cell r="I2124" t="str">
            <v>峰形异常</v>
          </cell>
          <cell r="J2124" t="str">
            <v>3.67</v>
          </cell>
          <cell r="K2124" t="str">
            <v>15.66</v>
          </cell>
          <cell r="L2124" t="str">
            <v>不合格</v>
          </cell>
          <cell r="M2124" t="str">
            <v>苗娟/王璇</v>
          </cell>
          <cell r="N2124" t="str">
            <v>181123003-30</v>
          </cell>
        </row>
        <row r="2125">
          <cell r="E2125" t="str">
            <v>HFMET181123A2637-54-76</v>
          </cell>
          <cell r="F2125" t="str">
            <v>Meta 53，G02</v>
          </cell>
          <cell r="G2125">
            <v>15</v>
          </cell>
          <cell r="H2125" t="str">
            <v>土壤</v>
          </cell>
          <cell r="I2125" t="str">
            <v>峰形异常</v>
          </cell>
          <cell r="J2125" t="str">
            <v>4.01</v>
          </cell>
          <cell r="K2125" t="str">
            <v>17.58</v>
          </cell>
          <cell r="L2125" t="str">
            <v>不合格</v>
          </cell>
          <cell r="M2125" t="str">
            <v>苗娟/王璇</v>
          </cell>
          <cell r="N2125" t="str">
            <v>181123003-31</v>
          </cell>
        </row>
        <row r="2126">
          <cell r="E2126" t="str">
            <v>HFMET181123A2638-55-76</v>
          </cell>
          <cell r="F2126" t="str">
            <v>Meta 53，G03</v>
          </cell>
          <cell r="G2126">
            <v>15</v>
          </cell>
          <cell r="H2126" t="str">
            <v>土壤</v>
          </cell>
          <cell r="I2126">
            <v>427</v>
          </cell>
          <cell r="J2126" t="str">
            <v>11.37</v>
          </cell>
          <cell r="K2126" t="str">
            <v>41.98</v>
          </cell>
          <cell r="L2126" t="str">
            <v>合格</v>
          </cell>
          <cell r="M2126" t="str">
            <v>苗娟/王璇</v>
          </cell>
          <cell r="N2126" t="str">
            <v>181123003-32</v>
          </cell>
        </row>
        <row r="2127">
          <cell r="E2127" t="str">
            <v>HFMET181123A2639-56-76</v>
          </cell>
          <cell r="F2127" t="str">
            <v>Meta 53，G04</v>
          </cell>
          <cell r="G2127">
            <v>15</v>
          </cell>
          <cell r="H2127" t="str">
            <v>土壤</v>
          </cell>
          <cell r="I2127">
            <v>437</v>
          </cell>
          <cell r="J2127" t="str">
            <v>10.61</v>
          </cell>
          <cell r="K2127" t="str">
            <v>39.81</v>
          </cell>
          <cell r="L2127" t="str">
            <v>合格</v>
          </cell>
          <cell r="M2127" t="str">
            <v>苗娟/王璇</v>
          </cell>
          <cell r="N2127" t="str">
            <v>181123003-33</v>
          </cell>
        </row>
        <row r="2128">
          <cell r="E2128" t="str">
            <v>HFMET181123A2640-57-76</v>
          </cell>
          <cell r="F2128" t="str">
            <v>Meta 53，G05</v>
          </cell>
          <cell r="G2128">
            <v>15</v>
          </cell>
          <cell r="H2128" t="str">
            <v>土壤</v>
          </cell>
          <cell r="I2128" t="str">
            <v>无目的峰</v>
          </cell>
          <cell r="J2128" t="str">
            <v>0.71</v>
          </cell>
          <cell r="K2128" t="str">
            <v>3.02</v>
          </cell>
          <cell r="L2128" t="str">
            <v>不合格</v>
          </cell>
          <cell r="M2128" t="str">
            <v>苗娟/王璇</v>
          </cell>
          <cell r="N2128" t="str">
            <v>181123003-34</v>
          </cell>
        </row>
        <row r="2129">
          <cell r="E2129" t="str">
            <v>HFMET181123A2641-58-76</v>
          </cell>
          <cell r="F2129" t="str">
            <v>Meta 53，G06</v>
          </cell>
          <cell r="G2129">
            <v>15</v>
          </cell>
          <cell r="H2129" t="str">
            <v>土壤</v>
          </cell>
          <cell r="I2129" t="str">
            <v>无目的峰</v>
          </cell>
          <cell r="J2129" t="str">
            <v>0.26</v>
          </cell>
          <cell r="K2129" t="str">
            <v>1.13</v>
          </cell>
          <cell r="L2129" t="str">
            <v>不合格</v>
          </cell>
          <cell r="M2129" t="str">
            <v>苗娟/王璇</v>
          </cell>
          <cell r="N2129" t="str">
            <v>181123003-35</v>
          </cell>
        </row>
        <row r="2130">
          <cell r="E2130" t="str">
            <v>HFMET181122A2368-1-112</v>
          </cell>
          <cell r="F2130" t="str">
            <v>Meta 50，G11</v>
          </cell>
          <cell r="G2130">
            <v>20</v>
          </cell>
          <cell r="H2130" t="str">
            <v>阴道分泌物</v>
          </cell>
          <cell r="I2130">
            <v>553</v>
          </cell>
          <cell r="J2130">
            <v>17.3</v>
          </cell>
          <cell r="K2130">
            <v>44.44</v>
          </cell>
          <cell r="L2130" t="str">
            <v>合格</v>
          </cell>
          <cell r="M2130" t="str">
            <v>丁梅/王建敏</v>
          </cell>
          <cell r="N2130" t="str">
            <v>181126-1-1</v>
          </cell>
        </row>
        <row r="2131">
          <cell r="E2131" t="str">
            <v>HFMET181122A2369-16-112</v>
          </cell>
          <cell r="F2131" t="str">
            <v>Meta 50，G12</v>
          </cell>
          <cell r="G2131">
            <v>20</v>
          </cell>
          <cell r="H2131" t="str">
            <v>阴道分泌物</v>
          </cell>
          <cell r="I2131">
            <v>584</v>
          </cell>
          <cell r="J2131">
            <v>7.51</v>
          </cell>
          <cell r="K2131">
            <v>18.93</v>
          </cell>
          <cell r="L2131" t="str">
            <v>合格</v>
          </cell>
          <cell r="M2131" t="str">
            <v>丁梅/王建敏</v>
          </cell>
          <cell r="N2131" t="str">
            <v>181126-1-2</v>
          </cell>
        </row>
        <row r="2132">
          <cell r="E2132" t="str">
            <v>HFMET181122A2370-17-112</v>
          </cell>
          <cell r="F2132" t="str">
            <v>Meta 50，H01</v>
          </cell>
          <cell r="G2132">
            <v>20</v>
          </cell>
          <cell r="H2132" t="str">
            <v>阴道分泌物</v>
          </cell>
          <cell r="I2132">
            <v>619</v>
          </cell>
          <cell r="J2132">
            <v>1.04</v>
          </cell>
          <cell r="K2132">
            <v>2.56</v>
          </cell>
          <cell r="L2132" t="str">
            <v>合格</v>
          </cell>
          <cell r="M2132" t="str">
            <v>丁梅/王建敏</v>
          </cell>
          <cell r="N2132" t="str">
            <v>181126-1-3</v>
          </cell>
        </row>
        <row r="2133">
          <cell r="E2133" t="str">
            <v>HFMET181122A2371-21-112</v>
          </cell>
          <cell r="F2133" t="str">
            <v>Meta 50，H02</v>
          </cell>
          <cell r="G2133">
            <v>20</v>
          </cell>
          <cell r="H2133" t="str">
            <v>阴道分泌物</v>
          </cell>
          <cell r="I2133">
            <v>586</v>
          </cell>
          <cell r="J2133">
            <v>6.63</v>
          </cell>
          <cell r="K2133">
            <v>16.66</v>
          </cell>
          <cell r="L2133" t="str">
            <v>合格</v>
          </cell>
          <cell r="M2133" t="str">
            <v>丁梅/王建敏</v>
          </cell>
          <cell r="N2133" t="str">
            <v>181126-1-4</v>
          </cell>
        </row>
        <row r="2134">
          <cell r="E2134" t="str">
            <v>HFMET181122A2372-27-112</v>
          </cell>
          <cell r="F2134" t="str">
            <v>Meta 50，H03</v>
          </cell>
          <cell r="G2134">
            <v>20</v>
          </cell>
          <cell r="H2134" t="str">
            <v>阴道分泌物</v>
          </cell>
          <cell r="I2134">
            <v>539</v>
          </cell>
          <cell r="J2134">
            <v>30.05</v>
          </cell>
          <cell r="K2134">
            <v>76.92</v>
          </cell>
          <cell r="L2134" t="str">
            <v>合格</v>
          </cell>
          <cell r="M2134" t="str">
            <v>丁梅/王建敏</v>
          </cell>
          <cell r="N2134" t="str">
            <v>181126-1-5</v>
          </cell>
        </row>
        <row r="2135">
          <cell r="E2135" t="str">
            <v>HFMET181122A2373-84-112</v>
          </cell>
          <cell r="F2135" t="str">
            <v>Meta 50，H04</v>
          </cell>
          <cell r="G2135">
            <v>20</v>
          </cell>
          <cell r="H2135" t="str">
            <v>阴道分泌物</v>
          </cell>
          <cell r="I2135">
            <v>539</v>
          </cell>
          <cell r="J2135">
            <v>35.49</v>
          </cell>
          <cell r="K2135">
            <v>92.65</v>
          </cell>
          <cell r="L2135" t="str">
            <v>合格</v>
          </cell>
          <cell r="M2135" t="str">
            <v>丁梅/王建敏</v>
          </cell>
          <cell r="N2135" t="str">
            <v>181126-1-6</v>
          </cell>
        </row>
        <row r="2136">
          <cell r="E2136" t="str">
            <v>HFMET181122A2374-85-112</v>
          </cell>
          <cell r="F2136" t="str">
            <v>Meta 50，H05</v>
          </cell>
          <cell r="G2136">
            <v>20</v>
          </cell>
          <cell r="H2136" t="str">
            <v>阴道分泌物</v>
          </cell>
          <cell r="I2136" t="str">
            <v>无目的峰</v>
          </cell>
          <cell r="J2136">
            <v>0.03</v>
          </cell>
          <cell r="K2136">
            <v>7.0000000000000007E-2</v>
          </cell>
          <cell r="L2136" t="str">
            <v>不合格</v>
          </cell>
          <cell r="M2136" t="str">
            <v>丁梅/王建敏</v>
          </cell>
          <cell r="N2136" t="str">
            <v>181126-1-7</v>
          </cell>
        </row>
        <row r="2137">
          <cell r="E2137" t="str">
            <v>HFMET181122A2375-86-112</v>
          </cell>
          <cell r="F2137" t="str">
            <v>Meta 50，H06</v>
          </cell>
          <cell r="G2137">
            <v>20</v>
          </cell>
          <cell r="H2137" t="str">
            <v>阴道分泌物</v>
          </cell>
          <cell r="I2137">
            <v>621</v>
          </cell>
          <cell r="J2137">
            <v>1.07</v>
          </cell>
          <cell r="K2137">
            <v>2.67</v>
          </cell>
          <cell r="L2137" t="str">
            <v>合格</v>
          </cell>
          <cell r="M2137" t="str">
            <v>丁梅/王建敏</v>
          </cell>
          <cell r="N2137" t="str">
            <v>181126-1-8</v>
          </cell>
        </row>
        <row r="2138">
          <cell r="E2138" t="str">
            <v>HFMET181122A2376-1-113</v>
          </cell>
          <cell r="F2138" t="str">
            <v>Meta 50，H07</v>
          </cell>
          <cell r="G2138">
            <v>20</v>
          </cell>
          <cell r="H2138" t="str">
            <v>阴道分泌物</v>
          </cell>
          <cell r="I2138">
            <v>538</v>
          </cell>
          <cell r="J2138">
            <v>34.200000000000003</v>
          </cell>
          <cell r="K2138">
            <v>89.8</v>
          </cell>
          <cell r="L2138" t="str">
            <v>合格</v>
          </cell>
          <cell r="M2138" t="str">
            <v>丁梅/王建敏</v>
          </cell>
          <cell r="N2138" t="str">
            <v>181126-1-9</v>
          </cell>
        </row>
        <row r="2139">
          <cell r="E2139" t="str">
            <v>HFMET181122A2377-16-113</v>
          </cell>
          <cell r="F2139" t="str">
            <v>Meta 50，H08</v>
          </cell>
          <cell r="G2139">
            <v>20</v>
          </cell>
          <cell r="H2139" t="str">
            <v>阴道分泌物</v>
          </cell>
          <cell r="I2139">
            <v>542</v>
          </cell>
          <cell r="J2139">
            <v>43.36</v>
          </cell>
          <cell r="K2139">
            <v>110.94</v>
          </cell>
          <cell r="L2139" t="str">
            <v>合格</v>
          </cell>
          <cell r="M2139" t="str">
            <v>丁梅/王建敏</v>
          </cell>
          <cell r="N2139" t="str">
            <v>181126-1-10</v>
          </cell>
        </row>
        <row r="2140">
          <cell r="E2140" t="str">
            <v>HFMET181122A2378-17-113</v>
          </cell>
          <cell r="F2140" t="str">
            <v>Meta 50，H09</v>
          </cell>
          <cell r="G2140">
            <v>20</v>
          </cell>
          <cell r="H2140" t="str">
            <v>阴道分泌物</v>
          </cell>
          <cell r="I2140" t="str">
            <v>无目的峰</v>
          </cell>
          <cell r="J2140">
            <v>0.05</v>
          </cell>
          <cell r="K2140">
            <v>0.13</v>
          </cell>
          <cell r="L2140" t="str">
            <v>不合格</v>
          </cell>
          <cell r="M2140" t="str">
            <v>丁梅/王建敏</v>
          </cell>
          <cell r="N2140" t="str">
            <v>181126-1-11</v>
          </cell>
        </row>
        <row r="2141">
          <cell r="E2141" t="str">
            <v>HFMET181122A2379-21-113</v>
          </cell>
          <cell r="F2141" t="str">
            <v>Meta 50，H10</v>
          </cell>
          <cell r="G2141">
            <v>20</v>
          </cell>
          <cell r="H2141" t="str">
            <v>阴道分泌物</v>
          </cell>
          <cell r="I2141">
            <v>582</v>
          </cell>
          <cell r="J2141">
            <v>9.73</v>
          </cell>
          <cell r="K2141">
            <v>24.55</v>
          </cell>
          <cell r="L2141" t="str">
            <v>合格</v>
          </cell>
          <cell r="M2141" t="str">
            <v>丁梅/王建敏</v>
          </cell>
          <cell r="N2141" t="str">
            <v>181126-1-12</v>
          </cell>
        </row>
        <row r="2142">
          <cell r="E2142" t="str">
            <v>HFMET181122A2380-27-113</v>
          </cell>
          <cell r="F2142" t="str">
            <v>Meta 50，H11</v>
          </cell>
          <cell r="G2142">
            <v>20</v>
          </cell>
          <cell r="H2142" t="str">
            <v>阴道分泌物</v>
          </cell>
          <cell r="I2142">
            <v>571</v>
          </cell>
          <cell r="J2142">
            <v>17.87</v>
          </cell>
          <cell r="K2142">
            <v>44.5</v>
          </cell>
          <cell r="L2142" t="str">
            <v>合格</v>
          </cell>
          <cell r="M2142" t="str">
            <v>丁梅/王建敏</v>
          </cell>
          <cell r="N2142" t="str">
            <v>181126-1-13</v>
          </cell>
        </row>
        <row r="2143">
          <cell r="E2143" t="str">
            <v>HFMET181122A2381-84-113</v>
          </cell>
          <cell r="F2143" t="str">
            <v>Meta 50，H12</v>
          </cell>
          <cell r="G2143">
            <v>20</v>
          </cell>
          <cell r="H2143" t="str">
            <v>阴道分泌物</v>
          </cell>
          <cell r="I2143">
            <v>557</v>
          </cell>
          <cell r="J2143">
            <v>31.39</v>
          </cell>
          <cell r="K2143">
            <v>80.55</v>
          </cell>
          <cell r="L2143" t="str">
            <v>合格</v>
          </cell>
          <cell r="M2143" t="str">
            <v>丁梅/王建敏</v>
          </cell>
          <cell r="N2143" t="str">
            <v>181126-1-14</v>
          </cell>
        </row>
        <row r="2144">
          <cell r="E2144" t="str">
            <v>HFMET181122A2382-85-113</v>
          </cell>
          <cell r="F2144" t="str">
            <v>Meta 51，A01</v>
          </cell>
          <cell r="G2144">
            <v>20</v>
          </cell>
          <cell r="H2144" t="str">
            <v>阴道分泌物</v>
          </cell>
          <cell r="I2144">
            <v>546</v>
          </cell>
          <cell r="J2144">
            <v>39.86</v>
          </cell>
          <cell r="K2144">
            <v>100.98</v>
          </cell>
          <cell r="L2144" t="str">
            <v>合格</v>
          </cell>
          <cell r="M2144" t="str">
            <v>丁梅/王建敏</v>
          </cell>
          <cell r="N2144" t="str">
            <v>181126-1-15</v>
          </cell>
        </row>
        <row r="2145">
          <cell r="E2145" t="str">
            <v>HFMET181122A2383-86-113</v>
          </cell>
          <cell r="F2145" t="str">
            <v>Meta 51，A02</v>
          </cell>
          <cell r="G2145">
            <v>20</v>
          </cell>
          <cell r="H2145" t="str">
            <v>阴道分泌物</v>
          </cell>
          <cell r="I2145">
            <v>635</v>
          </cell>
          <cell r="J2145">
            <v>1.06</v>
          </cell>
          <cell r="K2145">
            <v>2.58</v>
          </cell>
          <cell r="L2145" t="str">
            <v>合格</v>
          </cell>
          <cell r="M2145" t="str">
            <v>丁梅/王建敏</v>
          </cell>
          <cell r="N2145" t="str">
            <v>181126-1-16</v>
          </cell>
        </row>
        <row r="2146">
          <cell r="E2146" t="str">
            <v>HFMET181122A2384-1-114</v>
          </cell>
          <cell r="F2146" t="str">
            <v>Meta 51，A03</v>
          </cell>
          <cell r="G2146">
            <v>20</v>
          </cell>
          <cell r="H2146" t="str">
            <v>阴道分泌物</v>
          </cell>
          <cell r="I2146">
            <v>552</v>
          </cell>
          <cell r="J2146">
            <v>35.28</v>
          </cell>
          <cell r="K2146">
            <v>91.05</v>
          </cell>
          <cell r="L2146" t="str">
            <v>合格</v>
          </cell>
          <cell r="M2146" t="str">
            <v>丁梅/王建敏</v>
          </cell>
          <cell r="N2146" t="str">
            <v>181126-1-17</v>
          </cell>
        </row>
        <row r="2147">
          <cell r="E2147" t="str">
            <v>HFMET181122A2385-16-114</v>
          </cell>
          <cell r="F2147" t="str">
            <v>Meta 51，A04</v>
          </cell>
          <cell r="G2147">
            <v>20</v>
          </cell>
          <cell r="H2147" t="str">
            <v>阴道分泌物</v>
          </cell>
          <cell r="I2147">
            <v>615</v>
          </cell>
          <cell r="J2147">
            <v>2.9</v>
          </cell>
          <cell r="K2147">
            <v>7.12</v>
          </cell>
          <cell r="L2147" t="str">
            <v>合格</v>
          </cell>
          <cell r="M2147" t="str">
            <v>丁梅/王建敏</v>
          </cell>
          <cell r="N2147" t="str">
            <v>181126-1-18</v>
          </cell>
        </row>
        <row r="2148">
          <cell r="E2148" t="str">
            <v>HFMET181122A2386-17-114</v>
          </cell>
          <cell r="F2148" t="str">
            <v>Meta 51，A05</v>
          </cell>
          <cell r="G2148">
            <v>20</v>
          </cell>
          <cell r="H2148" t="str">
            <v>阴道分泌物</v>
          </cell>
          <cell r="I2148">
            <v>538</v>
          </cell>
          <cell r="J2148">
            <v>21.94</v>
          </cell>
          <cell r="K2148">
            <v>58.35</v>
          </cell>
          <cell r="L2148" t="str">
            <v>合格</v>
          </cell>
          <cell r="M2148" t="str">
            <v>丁梅/王建敏</v>
          </cell>
          <cell r="N2148" t="str">
            <v>181126-1-19</v>
          </cell>
        </row>
        <row r="2149">
          <cell r="E2149" t="str">
            <v>HFMET181122A2387-21-114</v>
          </cell>
          <cell r="F2149" t="str">
            <v>Meta 51，A06</v>
          </cell>
          <cell r="G2149">
            <v>20</v>
          </cell>
          <cell r="H2149" t="str">
            <v>阴道分泌物</v>
          </cell>
          <cell r="I2149">
            <v>569</v>
          </cell>
          <cell r="J2149">
            <v>37.69</v>
          </cell>
          <cell r="K2149">
            <v>93.69</v>
          </cell>
          <cell r="L2149" t="str">
            <v>合格</v>
          </cell>
          <cell r="M2149" t="str">
            <v>丁梅/王建敏</v>
          </cell>
          <cell r="N2149" t="str">
            <v>181126-1-20</v>
          </cell>
        </row>
        <row r="2150">
          <cell r="E2150" t="str">
            <v>HFMET181122A2388-27-114</v>
          </cell>
          <cell r="F2150" t="str">
            <v>Meta 51，A07</v>
          </cell>
          <cell r="G2150">
            <v>20</v>
          </cell>
          <cell r="H2150" t="str">
            <v>阴道分泌物</v>
          </cell>
          <cell r="I2150">
            <v>564</v>
          </cell>
          <cell r="J2150">
            <v>16.73</v>
          </cell>
          <cell r="K2150">
            <v>42.73</v>
          </cell>
          <cell r="L2150" t="str">
            <v>合格</v>
          </cell>
          <cell r="M2150" t="str">
            <v>丁梅/王建敏</v>
          </cell>
          <cell r="N2150" t="str">
            <v>181126-1-21</v>
          </cell>
        </row>
        <row r="2151">
          <cell r="E2151" t="str">
            <v>HFMET181122A2389-84-114</v>
          </cell>
          <cell r="F2151" t="str">
            <v>Meta 51，A08</v>
          </cell>
          <cell r="G2151">
            <v>20</v>
          </cell>
          <cell r="H2151" t="str">
            <v>阴道分泌物</v>
          </cell>
          <cell r="I2151">
            <v>557</v>
          </cell>
          <cell r="J2151">
            <v>24.35</v>
          </cell>
          <cell r="K2151">
            <v>62.95</v>
          </cell>
          <cell r="L2151" t="str">
            <v>合格</v>
          </cell>
          <cell r="M2151" t="str">
            <v>丁梅/王建敏</v>
          </cell>
          <cell r="N2151" t="str">
            <v>181126-1-22</v>
          </cell>
        </row>
        <row r="2152">
          <cell r="E2152" t="str">
            <v>HFMET181122A2390-85-114</v>
          </cell>
          <cell r="F2152" t="str">
            <v>Meta 51，A09</v>
          </cell>
          <cell r="G2152">
            <v>20</v>
          </cell>
          <cell r="H2152" t="str">
            <v>阴道分泌物</v>
          </cell>
          <cell r="I2152">
            <v>551</v>
          </cell>
          <cell r="J2152">
            <v>12.54</v>
          </cell>
          <cell r="K2152">
            <v>33.11</v>
          </cell>
          <cell r="L2152" t="str">
            <v>合格</v>
          </cell>
          <cell r="M2152" t="str">
            <v>丁梅/王建敏</v>
          </cell>
          <cell r="N2152" t="str">
            <v>181126-1-23</v>
          </cell>
        </row>
        <row r="2153">
          <cell r="E2153" t="str">
            <v>HFMET181122A2391-86-114</v>
          </cell>
          <cell r="F2153" t="str">
            <v>Meta 51，A10</v>
          </cell>
          <cell r="G2153">
            <v>20</v>
          </cell>
          <cell r="H2153" t="str">
            <v>阴道分泌物</v>
          </cell>
          <cell r="I2153">
            <v>555</v>
          </cell>
          <cell r="J2153">
            <v>16.98</v>
          </cell>
          <cell r="K2153">
            <v>44.39</v>
          </cell>
          <cell r="L2153" t="str">
            <v>合格</v>
          </cell>
          <cell r="M2153" t="str">
            <v>丁梅/王建敏</v>
          </cell>
          <cell r="N2153" t="str">
            <v>181126-1-24</v>
          </cell>
        </row>
        <row r="2154">
          <cell r="E2154" t="str">
            <v>HFMET181122A2392-1-115</v>
          </cell>
          <cell r="F2154" t="str">
            <v>Meta 51，A11</v>
          </cell>
          <cell r="G2154">
            <v>20</v>
          </cell>
          <cell r="H2154" t="str">
            <v>阴道分泌物</v>
          </cell>
          <cell r="I2154">
            <v>563</v>
          </cell>
          <cell r="J2154">
            <v>26.64</v>
          </cell>
          <cell r="K2154">
            <v>67.12</v>
          </cell>
          <cell r="L2154" t="str">
            <v>合格</v>
          </cell>
          <cell r="M2154" t="str">
            <v>丁梅/王建敏</v>
          </cell>
          <cell r="N2154" t="str">
            <v>181126-1-25</v>
          </cell>
        </row>
        <row r="2155">
          <cell r="E2155" t="str">
            <v>HFMET181122A2393-16-115</v>
          </cell>
          <cell r="F2155" t="str">
            <v>Meta 51，A12</v>
          </cell>
          <cell r="G2155">
            <v>20</v>
          </cell>
          <cell r="H2155" t="str">
            <v>阴道分泌物</v>
          </cell>
          <cell r="I2155">
            <v>549</v>
          </cell>
          <cell r="J2155">
            <v>28.02</v>
          </cell>
          <cell r="K2155">
            <v>72.39</v>
          </cell>
          <cell r="L2155" t="str">
            <v>合格</v>
          </cell>
          <cell r="M2155" t="str">
            <v>丁梅/王建敏</v>
          </cell>
          <cell r="N2155" t="str">
            <v>181126-1-26</v>
          </cell>
        </row>
        <row r="2156">
          <cell r="E2156" t="str">
            <v>HFMET181122A2394-17-115</v>
          </cell>
          <cell r="F2156" t="str">
            <v>Meta 51，B01</v>
          </cell>
          <cell r="G2156">
            <v>20</v>
          </cell>
          <cell r="H2156" t="str">
            <v>阴道分泌物</v>
          </cell>
          <cell r="I2156">
            <v>624</v>
          </cell>
          <cell r="J2156">
            <v>1.76</v>
          </cell>
          <cell r="K2156">
            <v>4.29</v>
          </cell>
          <cell r="L2156" t="str">
            <v>合格</v>
          </cell>
          <cell r="M2156" t="str">
            <v>丁梅/王建敏</v>
          </cell>
          <cell r="N2156" t="str">
            <v>181126-1-27</v>
          </cell>
        </row>
        <row r="2157">
          <cell r="E2157" t="str">
            <v>HFMET181122A2395-21-115</v>
          </cell>
          <cell r="F2157" t="str">
            <v>Meta 51，B02</v>
          </cell>
          <cell r="G2157">
            <v>20</v>
          </cell>
          <cell r="H2157" t="str">
            <v>阴道分泌物</v>
          </cell>
          <cell r="I2157">
            <v>554</v>
          </cell>
          <cell r="J2157">
            <v>30.55</v>
          </cell>
          <cell r="K2157">
            <v>78.25</v>
          </cell>
          <cell r="L2157" t="str">
            <v>合格</v>
          </cell>
          <cell r="M2157" t="str">
            <v>丁梅/王建敏</v>
          </cell>
          <cell r="N2157" t="str">
            <v>181126-1-28</v>
          </cell>
        </row>
        <row r="2158">
          <cell r="E2158" t="str">
            <v>HFMET181122A2396-27-115</v>
          </cell>
          <cell r="F2158" t="str">
            <v>Meta 51，B03</v>
          </cell>
          <cell r="G2158">
            <v>20</v>
          </cell>
          <cell r="H2158" t="str">
            <v>阴道分泌物</v>
          </cell>
          <cell r="I2158">
            <v>636</v>
          </cell>
          <cell r="J2158">
            <v>2.02</v>
          </cell>
          <cell r="K2158">
            <v>4.82</v>
          </cell>
          <cell r="L2158" t="str">
            <v>合格</v>
          </cell>
          <cell r="M2158" t="str">
            <v>丁梅/王建敏</v>
          </cell>
          <cell r="N2158" t="str">
            <v>181126-1-29</v>
          </cell>
        </row>
        <row r="2159">
          <cell r="E2159" t="str">
            <v>HFMET181122A2397-84-115</v>
          </cell>
          <cell r="F2159" t="str">
            <v>Meta 51，B04</v>
          </cell>
          <cell r="G2159">
            <v>20</v>
          </cell>
          <cell r="H2159" t="str">
            <v>阴道分泌物</v>
          </cell>
          <cell r="I2159">
            <v>622</v>
          </cell>
          <cell r="J2159">
            <v>2.72</v>
          </cell>
          <cell r="K2159">
            <v>6.61</v>
          </cell>
          <cell r="L2159" t="str">
            <v>合格</v>
          </cell>
          <cell r="M2159" t="str">
            <v>丁梅/王建敏</v>
          </cell>
          <cell r="N2159" t="str">
            <v>181126-1-30</v>
          </cell>
        </row>
        <row r="2160">
          <cell r="E2160" t="str">
            <v>HFMET181122A2398-85-115</v>
          </cell>
          <cell r="F2160" t="str">
            <v>Meta 51，B05</v>
          </cell>
          <cell r="G2160">
            <v>20</v>
          </cell>
          <cell r="H2160" t="str">
            <v>阴道分泌物</v>
          </cell>
          <cell r="I2160">
            <v>636</v>
          </cell>
          <cell r="J2160">
            <v>0.51</v>
          </cell>
          <cell r="K2160">
            <v>1.24</v>
          </cell>
          <cell r="L2160" t="str">
            <v>不合格</v>
          </cell>
          <cell r="M2160" t="str">
            <v>丁梅/王建敏</v>
          </cell>
          <cell r="N2160" t="str">
            <v>181126-1-31</v>
          </cell>
        </row>
        <row r="2161">
          <cell r="E2161" t="str">
            <v>HFMET181122A2399-86-115</v>
          </cell>
          <cell r="F2161" t="str">
            <v>Meta 51，B06</v>
          </cell>
          <cell r="G2161">
            <v>20</v>
          </cell>
          <cell r="H2161" t="str">
            <v>阴道分泌物</v>
          </cell>
          <cell r="I2161">
            <v>642</v>
          </cell>
          <cell r="J2161">
            <v>0.13</v>
          </cell>
          <cell r="K2161">
            <v>0.3</v>
          </cell>
          <cell r="L2161" t="str">
            <v>不合格</v>
          </cell>
          <cell r="M2161" t="str">
            <v>丁梅/王建敏</v>
          </cell>
          <cell r="N2161" t="str">
            <v>181126-1-32</v>
          </cell>
        </row>
        <row r="2162">
          <cell r="E2162" t="str">
            <v>HFMET181122A2400-1-116</v>
          </cell>
          <cell r="F2162" t="str">
            <v>Meta 51，B07</v>
          </cell>
          <cell r="G2162">
            <v>20</v>
          </cell>
          <cell r="H2162" t="str">
            <v>阴道分泌物</v>
          </cell>
          <cell r="I2162">
            <v>610</v>
          </cell>
          <cell r="J2162">
            <v>3.09</v>
          </cell>
          <cell r="K2162">
            <v>7.6</v>
          </cell>
          <cell r="L2162" t="str">
            <v>合格</v>
          </cell>
          <cell r="M2162" t="str">
            <v>丁梅/王建敏</v>
          </cell>
          <cell r="N2162" t="str">
            <v>181126-1-33</v>
          </cell>
        </row>
        <row r="2163">
          <cell r="E2163" t="str">
            <v>HFMET181122A2401-16-116</v>
          </cell>
          <cell r="F2163" t="str">
            <v>Meta 51，B08</v>
          </cell>
          <cell r="G2163">
            <v>20</v>
          </cell>
          <cell r="H2163" t="str">
            <v>阴道分泌物</v>
          </cell>
          <cell r="I2163">
            <v>563</v>
          </cell>
          <cell r="J2163">
            <v>40.729999999999997</v>
          </cell>
          <cell r="K2163">
            <v>101.47</v>
          </cell>
          <cell r="L2163" t="str">
            <v>合格</v>
          </cell>
          <cell r="M2163" t="str">
            <v>丁梅/王建敏</v>
          </cell>
          <cell r="N2163" t="str">
            <v>181126-1-34</v>
          </cell>
        </row>
        <row r="2164">
          <cell r="E2164" t="str">
            <v>HFMET181122A2402-17-116</v>
          </cell>
          <cell r="F2164" t="str">
            <v>Meta 51，B09</v>
          </cell>
          <cell r="G2164">
            <v>20</v>
          </cell>
          <cell r="H2164" t="str">
            <v>阴道分泌物</v>
          </cell>
          <cell r="I2164">
            <v>542</v>
          </cell>
          <cell r="J2164">
            <v>44.45</v>
          </cell>
          <cell r="K2164">
            <v>112.61</v>
          </cell>
          <cell r="L2164" t="str">
            <v>合格</v>
          </cell>
          <cell r="M2164" t="str">
            <v>丁梅/王建敏</v>
          </cell>
          <cell r="N2164" t="str">
            <v>181126-1-35</v>
          </cell>
        </row>
        <row r="2165">
          <cell r="E2165" t="str">
            <v>HFMET181122A2403-21-116</v>
          </cell>
          <cell r="F2165" t="str">
            <v>Meta 51，B10</v>
          </cell>
          <cell r="G2165">
            <v>20</v>
          </cell>
          <cell r="H2165" t="str">
            <v>阴道分泌物</v>
          </cell>
          <cell r="I2165">
            <v>565</v>
          </cell>
          <cell r="J2165">
            <v>32.61</v>
          </cell>
          <cell r="K2165">
            <v>81.790000000000006</v>
          </cell>
          <cell r="L2165" t="str">
            <v>合格</v>
          </cell>
          <cell r="M2165" t="str">
            <v>丁梅/王建敏</v>
          </cell>
          <cell r="N2165" t="str">
            <v>181126-1-36</v>
          </cell>
        </row>
        <row r="2166">
          <cell r="E2166" t="str">
            <v>HFMET181122A2404-27-116</v>
          </cell>
          <cell r="F2166" t="str">
            <v>Meta 51，B11</v>
          </cell>
          <cell r="G2166">
            <v>20</v>
          </cell>
          <cell r="H2166" t="str">
            <v>阴道分泌物</v>
          </cell>
          <cell r="I2166">
            <v>579</v>
          </cell>
          <cell r="J2166">
            <v>33.31</v>
          </cell>
          <cell r="K2166">
            <v>80.34</v>
          </cell>
          <cell r="L2166" t="str">
            <v>合格</v>
          </cell>
          <cell r="M2166" t="str">
            <v>丁梅/王建敏</v>
          </cell>
          <cell r="N2166" t="str">
            <v>181126-1-37</v>
          </cell>
        </row>
        <row r="2167">
          <cell r="E2167" t="str">
            <v>HFMET181122A2405-84-116</v>
          </cell>
          <cell r="F2167" t="str">
            <v>Meta 51，B12</v>
          </cell>
          <cell r="G2167">
            <v>20</v>
          </cell>
          <cell r="H2167" t="str">
            <v>阴道分泌物</v>
          </cell>
          <cell r="I2167">
            <v>557</v>
          </cell>
          <cell r="J2167">
            <v>27.29</v>
          </cell>
          <cell r="K2167">
            <v>70.040000000000006</v>
          </cell>
          <cell r="L2167" t="str">
            <v>合格</v>
          </cell>
          <cell r="M2167" t="str">
            <v>丁梅/王建敏</v>
          </cell>
          <cell r="N2167" t="str">
            <v>181126-1-38</v>
          </cell>
        </row>
        <row r="2168">
          <cell r="E2168" t="str">
            <v>HFMET181122A2406-85-116</v>
          </cell>
          <cell r="F2168" t="str">
            <v>Meta 51，C01</v>
          </cell>
          <cell r="G2168">
            <v>20</v>
          </cell>
          <cell r="H2168" t="str">
            <v>阴道分泌物</v>
          </cell>
          <cell r="I2168">
            <v>607</v>
          </cell>
          <cell r="J2168">
            <v>6.85</v>
          </cell>
          <cell r="K2168">
            <v>16.64</v>
          </cell>
          <cell r="L2168" t="str">
            <v>合格</v>
          </cell>
          <cell r="M2168" t="str">
            <v>丁梅/王建敏</v>
          </cell>
          <cell r="N2168" t="str">
            <v>181126-1-39</v>
          </cell>
        </row>
        <row r="2169">
          <cell r="E2169" t="str">
            <v>HFMET181122A2407-86-116</v>
          </cell>
          <cell r="F2169" t="str">
            <v>Meta 51，C02</v>
          </cell>
          <cell r="G2169">
            <v>20</v>
          </cell>
          <cell r="H2169" t="str">
            <v>阴道分泌物</v>
          </cell>
          <cell r="I2169">
            <v>598</v>
          </cell>
          <cell r="J2169">
            <v>10.74</v>
          </cell>
          <cell r="K2169">
            <v>26.56</v>
          </cell>
          <cell r="L2169" t="str">
            <v>合格</v>
          </cell>
          <cell r="M2169" t="str">
            <v>丁梅/王建敏</v>
          </cell>
          <cell r="N2169" t="str">
            <v>181126-1-40</v>
          </cell>
        </row>
        <row r="2170">
          <cell r="E2170" t="str">
            <v>HFMET181122A2408-1-117</v>
          </cell>
          <cell r="F2170" t="str">
            <v>Meta 51，C03</v>
          </cell>
          <cell r="G2170">
            <v>20</v>
          </cell>
          <cell r="H2170" t="str">
            <v>阴道分泌物</v>
          </cell>
          <cell r="I2170">
            <v>559</v>
          </cell>
          <cell r="J2170">
            <v>14.8</v>
          </cell>
          <cell r="K2170">
            <v>38.35</v>
          </cell>
          <cell r="L2170" t="str">
            <v>合格</v>
          </cell>
          <cell r="M2170" t="str">
            <v>丁梅/王建敏</v>
          </cell>
          <cell r="N2170" t="str">
            <v>181126-1-41</v>
          </cell>
        </row>
        <row r="2171">
          <cell r="E2171" t="str">
            <v>HFMET181122A2409-16-117</v>
          </cell>
          <cell r="F2171" t="str">
            <v>Meta 51，C04</v>
          </cell>
          <cell r="G2171">
            <v>20</v>
          </cell>
          <cell r="H2171" t="str">
            <v>阴道分泌物</v>
          </cell>
          <cell r="I2171">
            <v>592</v>
          </cell>
          <cell r="J2171">
            <v>9.1300000000000008</v>
          </cell>
          <cell r="K2171">
            <v>22.72</v>
          </cell>
          <cell r="L2171" t="str">
            <v>合格</v>
          </cell>
          <cell r="M2171" t="str">
            <v>丁梅/王建敏</v>
          </cell>
          <cell r="N2171" t="str">
            <v>181126-1-42</v>
          </cell>
        </row>
        <row r="2172">
          <cell r="E2172" t="str">
            <v>HFMET181122A2410-17-117</v>
          </cell>
          <cell r="F2172" t="str">
            <v>Meta 51，C05</v>
          </cell>
          <cell r="G2172">
            <v>20</v>
          </cell>
          <cell r="H2172" t="str">
            <v>阴道分泌物</v>
          </cell>
          <cell r="I2172">
            <v>527</v>
          </cell>
          <cell r="J2172">
            <v>44.78</v>
          </cell>
          <cell r="K2172">
            <v>115.99</v>
          </cell>
          <cell r="L2172" t="str">
            <v>合格</v>
          </cell>
          <cell r="M2172" t="str">
            <v>丁梅/王建敏</v>
          </cell>
          <cell r="N2172" t="str">
            <v>181126-1-43</v>
          </cell>
        </row>
        <row r="2173">
          <cell r="E2173" t="str">
            <v>HFMET181122A2411-21-117</v>
          </cell>
          <cell r="F2173" t="str">
            <v>Meta 51，C06</v>
          </cell>
          <cell r="G2173">
            <v>20</v>
          </cell>
          <cell r="H2173" t="str">
            <v>阴道分泌物</v>
          </cell>
          <cell r="I2173">
            <v>573</v>
          </cell>
          <cell r="J2173">
            <v>38.909999999999997</v>
          </cell>
          <cell r="K2173">
            <v>95.16</v>
          </cell>
          <cell r="L2173" t="str">
            <v>合格</v>
          </cell>
          <cell r="M2173" t="str">
            <v>丁梅/王建敏</v>
          </cell>
          <cell r="N2173" t="str">
            <v>181126-1-44</v>
          </cell>
        </row>
        <row r="2174">
          <cell r="E2174" t="str">
            <v>HFMET181122A2412-27-117</v>
          </cell>
          <cell r="F2174" t="str">
            <v>Meta 51，C07</v>
          </cell>
          <cell r="G2174">
            <v>20</v>
          </cell>
          <cell r="H2174" t="str">
            <v>阴道分泌物</v>
          </cell>
          <cell r="I2174">
            <v>542</v>
          </cell>
          <cell r="J2174">
            <v>30.26</v>
          </cell>
          <cell r="K2174">
            <v>78.989999999999995</v>
          </cell>
          <cell r="L2174" t="str">
            <v>合格</v>
          </cell>
          <cell r="M2174" t="str">
            <v>丁梅/王建敏</v>
          </cell>
          <cell r="N2174" t="str">
            <v>181126-1-45</v>
          </cell>
        </row>
        <row r="2175">
          <cell r="E2175" t="str">
            <v>HFMET181122A2413-84-117</v>
          </cell>
          <cell r="F2175" t="str">
            <v>Meta 51，C08</v>
          </cell>
          <cell r="G2175">
            <v>20</v>
          </cell>
          <cell r="H2175" t="str">
            <v>阴道分泌物</v>
          </cell>
          <cell r="I2175">
            <v>613</v>
          </cell>
          <cell r="J2175">
            <v>4.63</v>
          </cell>
          <cell r="K2175">
            <v>11.4</v>
          </cell>
          <cell r="L2175" t="str">
            <v>合格</v>
          </cell>
          <cell r="M2175" t="str">
            <v>丁梅/王建敏</v>
          </cell>
          <cell r="N2175" t="str">
            <v>181126-1-46</v>
          </cell>
        </row>
        <row r="2176">
          <cell r="E2176" t="str">
            <v>HFMET181122A2414-85-117</v>
          </cell>
          <cell r="F2176" t="str">
            <v>Meta 51，C09</v>
          </cell>
          <cell r="G2176">
            <v>20</v>
          </cell>
          <cell r="H2176" t="str">
            <v>阴道分泌物</v>
          </cell>
          <cell r="I2176">
            <v>539</v>
          </cell>
          <cell r="J2176">
            <v>36.950000000000003</v>
          </cell>
          <cell r="K2176">
            <v>95.55</v>
          </cell>
          <cell r="L2176" t="str">
            <v>合格</v>
          </cell>
          <cell r="M2176" t="str">
            <v>丁梅/王建敏</v>
          </cell>
          <cell r="N2176" t="str">
            <v>181126-1-47</v>
          </cell>
        </row>
        <row r="2177">
          <cell r="E2177" t="str">
            <v>HFMET181122A2415-86-117</v>
          </cell>
          <cell r="F2177" t="str">
            <v>Meta 51，C10</v>
          </cell>
          <cell r="G2177">
            <v>20</v>
          </cell>
          <cell r="H2177" t="str">
            <v>阴道分泌物</v>
          </cell>
          <cell r="I2177">
            <v>567</v>
          </cell>
          <cell r="J2177">
            <v>21.68</v>
          </cell>
          <cell r="K2177">
            <v>55.26</v>
          </cell>
          <cell r="L2177" t="str">
            <v>合格</v>
          </cell>
          <cell r="M2177" t="str">
            <v>丁梅/王建敏</v>
          </cell>
          <cell r="N2177" t="str">
            <v>181126-1-48</v>
          </cell>
        </row>
        <row r="2178">
          <cell r="E2178" t="str">
            <v>HFMET181122A2416-1-118</v>
          </cell>
          <cell r="F2178" t="str">
            <v>Meta 51，C11</v>
          </cell>
          <cell r="G2178">
            <v>20</v>
          </cell>
          <cell r="H2178" t="str">
            <v>阴道分泌物</v>
          </cell>
          <cell r="I2178">
            <v>636</v>
          </cell>
          <cell r="J2178">
            <v>0.59</v>
          </cell>
          <cell r="K2178">
            <v>1.43</v>
          </cell>
          <cell r="L2178" t="str">
            <v>不合格</v>
          </cell>
          <cell r="M2178" t="str">
            <v>丁梅/王建敏</v>
          </cell>
          <cell r="N2178" t="str">
            <v>181126-1-49</v>
          </cell>
        </row>
        <row r="2179">
          <cell r="E2179" t="str">
            <v>HFMET181122A2417-16-118</v>
          </cell>
          <cell r="F2179" t="str">
            <v>Meta 51，C12</v>
          </cell>
          <cell r="G2179">
            <v>20</v>
          </cell>
          <cell r="H2179" t="str">
            <v>阴道分泌物</v>
          </cell>
          <cell r="I2179">
            <v>575</v>
          </cell>
          <cell r="J2179">
            <v>39.229999999999997</v>
          </cell>
          <cell r="K2179">
            <v>99.08</v>
          </cell>
          <cell r="L2179" t="str">
            <v>合格</v>
          </cell>
          <cell r="M2179" t="str">
            <v>丁梅/王建敏</v>
          </cell>
          <cell r="N2179" t="str">
            <v>181126-1-50</v>
          </cell>
        </row>
        <row r="2180">
          <cell r="E2180" t="str">
            <v>HFMET181122A2418-17-118</v>
          </cell>
          <cell r="F2180" t="str">
            <v>Meta 51，D01</v>
          </cell>
          <cell r="G2180">
            <v>20</v>
          </cell>
          <cell r="H2180" t="str">
            <v>阴道分泌物</v>
          </cell>
          <cell r="I2180">
            <v>651</v>
          </cell>
          <cell r="J2180">
            <v>0.27</v>
          </cell>
          <cell r="K2180">
            <v>0.66</v>
          </cell>
          <cell r="L2180" t="str">
            <v>不合格</v>
          </cell>
          <cell r="M2180" t="str">
            <v>丁梅/王建敏</v>
          </cell>
          <cell r="N2180" t="str">
            <v>181126-1-51</v>
          </cell>
        </row>
        <row r="2181">
          <cell r="E2181" t="str">
            <v>HFMET181122A2419-21-118</v>
          </cell>
          <cell r="F2181" t="str">
            <v>Meta 51，D02</v>
          </cell>
          <cell r="G2181">
            <v>20</v>
          </cell>
          <cell r="H2181" t="str">
            <v>阴道分泌物</v>
          </cell>
          <cell r="I2181">
            <v>624</v>
          </cell>
          <cell r="J2181">
            <v>2.1</v>
          </cell>
          <cell r="K2181">
            <v>5.13</v>
          </cell>
          <cell r="L2181" t="str">
            <v>合格</v>
          </cell>
          <cell r="M2181" t="str">
            <v>丁梅/王建敏</v>
          </cell>
          <cell r="N2181" t="str">
            <v>181126-1-52</v>
          </cell>
        </row>
        <row r="2182">
          <cell r="E2182" t="str">
            <v>HFMET181122A2420-27-118</v>
          </cell>
          <cell r="F2182" t="str">
            <v>Meta 51，D03</v>
          </cell>
          <cell r="G2182">
            <v>20</v>
          </cell>
          <cell r="H2182" t="str">
            <v>阴道分泌物</v>
          </cell>
          <cell r="I2182" t="str">
            <v>无目的峰</v>
          </cell>
          <cell r="J2182">
            <v>0.06</v>
          </cell>
          <cell r="K2182">
            <v>0.14000000000000001</v>
          </cell>
          <cell r="L2182" t="str">
            <v>不合格</v>
          </cell>
          <cell r="M2182" t="str">
            <v>丁梅/王建敏</v>
          </cell>
          <cell r="N2182" t="str">
            <v>181126-1-53</v>
          </cell>
        </row>
        <row r="2183">
          <cell r="E2183" t="str">
            <v>HFMET181122A2421-84-118</v>
          </cell>
          <cell r="F2183" t="str">
            <v>Meta 51，D04</v>
          </cell>
          <cell r="G2183">
            <v>20</v>
          </cell>
          <cell r="H2183" t="str">
            <v>阴道分泌物</v>
          </cell>
          <cell r="I2183" t="str">
            <v>无目的峰</v>
          </cell>
          <cell r="J2183">
            <v>0.11</v>
          </cell>
          <cell r="K2183">
            <v>0.28000000000000003</v>
          </cell>
          <cell r="L2183" t="str">
            <v>不合格</v>
          </cell>
          <cell r="M2183" t="str">
            <v>丁梅/王建敏</v>
          </cell>
          <cell r="N2183" t="str">
            <v>181126-1-54</v>
          </cell>
        </row>
        <row r="2184">
          <cell r="E2184" t="str">
            <v>HFMET181122A2422-85-118</v>
          </cell>
          <cell r="F2184" t="str">
            <v>Meta 51，D05</v>
          </cell>
          <cell r="G2184">
            <v>20</v>
          </cell>
          <cell r="H2184" t="str">
            <v>阴道分泌物</v>
          </cell>
          <cell r="I2184">
            <v>552</v>
          </cell>
          <cell r="J2184">
            <v>18.03</v>
          </cell>
          <cell r="K2184">
            <v>47.37</v>
          </cell>
          <cell r="L2184" t="str">
            <v>合格</v>
          </cell>
          <cell r="M2184" t="str">
            <v>丁梅/王建敏</v>
          </cell>
          <cell r="N2184" t="str">
            <v>181126-1-55</v>
          </cell>
        </row>
        <row r="2185">
          <cell r="E2185" t="str">
            <v>HFMET181122A2423-86-118</v>
          </cell>
          <cell r="F2185" t="str">
            <v>Meta 51，D06</v>
          </cell>
          <cell r="G2185">
            <v>20</v>
          </cell>
          <cell r="H2185" t="str">
            <v>阴道分泌物</v>
          </cell>
          <cell r="I2185">
            <v>630</v>
          </cell>
          <cell r="J2185">
            <v>5.58</v>
          </cell>
          <cell r="K2185">
            <v>13.48</v>
          </cell>
          <cell r="L2185" t="str">
            <v>合格</v>
          </cell>
          <cell r="M2185" t="str">
            <v>丁梅/王建敏</v>
          </cell>
          <cell r="N2185" t="str">
            <v>181126-1-56</v>
          </cell>
        </row>
        <row r="2186">
          <cell r="E2186" t="str">
            <v>HFMET181122A2424-1-119</v>
          </cell>
          <cell r="F2186" t="str">
            <v>Meta 51，D07</v>
          </cell>
          <cell r="G2186">
            <v>20</v>
          </cell>
          <cell r="H2186" t="str">
            <v>阴道分泌物</v>
          </cell>
          <cell r="I2186">
            <v>558</v>
          </cell>
          <cell r="J2186">
            <v>31.68</v>
          </cell>
          <cell r="K2186">
            <v>80.77</v>
          </cell>
          <cell r="L2186" t="str">
            <v>合格</v>
          </cell>
          <cell r="M2186" t="str">
            <v>丁梅/王建敏</v>
          </cell>
          <cell r="N2186" t="str">
            <v>181126-1-57</v>
          </cell>
        </row>
        <row r="2187">
          <cell r="E2187" t="str">
            <v>HFMET181122A2425-16-119</v>
          </cell>
          <cell r="F2187" t="str">
            <v>Meta 51，D08</v>
          </cell>
          <cell r="G2187">
            <v>20</v>
          </cell>
          <cell r="H2187" t="str">
            <v>阴道分泌物</v>
          </cell>
          <cell r="I2187">
            <v>602</v>
          </cell>
          <cell r="J2187">
            <v>6.11</v>
          </cell>
          <cell r="K2187">
            <v>15.01</v>
          </cell>
          <cell r="L2187" t="str">
            <v>合格</v>
          </cell>
          <cell r="M2187" t="str">
            <v>丁梅/王建敏</v>
          </cell>
          <cell r="N2187" t="str">
            <v>181126-1-58</v>
          </cell>
        </row>
        <row r="2188">
          <cell r="E2188" t="str">
            <v>HFMET181122A2426-17-119</v>
          </cell>
          <cell r="F2188" t="str">
            <v>Meta 51，D09</v>
          </cell>
          <cell r="G2188">
            <v>20</v>
          </cell>
          <cell r="H2188" t="str">
            <v>阴道分泌物</v>
          </cell>
          <cell r="I2188">
            <v>520</v>
          </cell>
          <cell r="J2188">
            <v>51.92</v>
          </cell>
          <cell r="K2188">
            <v>134.96</v>
          </cell>
          <cell r="L2188" t="str">
            <v>合格</v>
          </cell>
          <cell r="M2188" t="str">
            <v>丁梅/王建敏</v>
          </cell>
          <cell r="N2188" t="str">
            <v>181126-1-59</v>
          </cell>
        </row>
        <row r="2189">
          <cell r="E2189" t="str">
            <v>HFMET181122A2427-21-119</v>
          </cell>
          <cell r="F2189" t="str">
            <v>Meta 51，D10</v>
          </cell>
          <cell r="G2189">
            <v>20</v>
          </cell>
          <cell r="H2189" t="str">
            <v>阴道分泌物</v>
          </cell>
          <cell r="I2189">
            <v>638</v>
          </cell>
          <cell r="J2189">
            <v>1.29</v>
          </cell>
          <cell r="K2189">
            <v>3.06</v>
          </cell>
          <cell r="L2189" t="str">
            <v>合格</v>
          </cell>
          <cell r="M2189" t="str">
            <v>丁梅/王建敏</v>
          </cell>
          <cell r="N2189" t="str">
            <v>181126-1-60</v>
          </cell>
        </row>
        <row r="2190">
          <cell r="E2190" t="str">
            <v>HFMET181122A2428-27-119</v>
          </cell>
          <cell r="F2190" t="str">
            <v>Meta 51，D11</v>
          </cell>
          <cell r="G2190">
            <v>20</v>
          </cell>
          <cell r="H2190" t="str">
            <v>阴道分泌物</v>
          </cell>
          <cell r="I2190">
            <v>624</v>
          </cell>
          <cell r="J2190">
            <v>1.03</v>
          </cell>
          <cell r="K2190">
            <v>2.5</v>
          </cell>
          <cell r="L2190" t="str">
            <v>合格</v>
          </cell>
          <cell r="M2190" t="str">
            <v>丁梅/王建敏</v>
          </cell>
          <cell r="N2190" t="str">
            <v>181126-1-61</v>
          </cell>
        </row>
        <row r="2191">
          <cell r="E2191" t="str">
            <v>HFMET181122A2429-84-119</v>
          </cell>
          <cell r="F2191" t="str">
            <v>Meta 51，D12</v>
          </cell>
          <cell r="G2191">
            <v>20</v>
          </cell>
          <cell r="H2191" t="str">
            <v>阴道分泌物</v>
          </cell>
          <cell r="I2191">
            <v>582</v>
          </cell>
          <cell r="J2191">
            <v>7.21</v>
          </cell>
          <cell r="K2191">
            <v>18.190000000000001</v>
          </cell>
          <cell r="L2191" t="str">
            <v>合格</v>
          </cell>
          <cell r="M2191" t="str">
            <v>丁梅/王建敏</v>
          </cell>
          <cell r="N2191" t="str">
            <v>181126-1-62</v>
          </cell>
        </row>
        <row r="2192">
          <cell r="E2192" t="str">
            <v>HFMET181122A2430-85-119</v>
          </cell>
          <cell r="F2192" t="str">
            <v>Meta 51，E01</v>
          </cell>
          <cell r="G2192">
            <v>20</v>
          </cell>
          <cell r="H2192" t="str">
            <v>阴道分泌物</v>
          </cell>
          <cell r="I2192">
            <v>630</v>
          </cell>
          <cell r="J2192">
            <v>1.07</v>
          </cell>
          <cell r="K2192">
            <v>2.59</v>
          </cell>
          <cell r="L2192" t="str">
            <v>合格</v>
          </cell>
          <cell r="M2192" t="str">
            <v>丁梅/王建敏</v>
          </cell>
          <cell r="N2192" t="str">
            <v>181126-1-63</v>
          </cell>
        </row>
        <row r="2193">
          <cell r="E2193" t="str">
            <v>HFMET181122A2431-86-119</v>
          </cell>
          <cell r="F2193" t="str">
            <v>Meta 51，E02</v>
          </cell>
          <cell r="G2193">
            <v>20</v>
          </cell>
          <cell r="H2193" t="str">
            <v>阴道分泌物</v>
          </cell>
          <cell r="I2193">
            <v>558</v>
          </cell>
          <cell r="J2193">
            <v>17</v>
          </cell>
          <cell r="K2193">
            <v>43.36</v>
          </cell>
          <cell r="L2193" t="str">
            <v>合格</v>
          </cell>
          <cell r="M2193" t="str">
            <v>丁梅/王建敏</v>
          </cell>
          <cell r="N2193" t="str">
            <v>181126-1-64</v>
          </cell>
        </row>
        <row r="2194">
          <cell r="E2194" t="str">
            <v>HFMET181122A2432-1-120</v>
          </cell>
          <cell r="F2194" t="str">
            <v>Meta 51，E03</v>
          </cell>
          <cell r="G2194">
            <v>20</v>
          </cell>
          <cell r="H2194" t="str">
            <v>阴道分泌物</v>
          </cell>
          <cell r="I2194">
            <v>552</v>
          </cell>
          <cell r="J2194">
            <v>29.26</v>
          </cell>
          <cell r="K2194">
            <v>75.13</v>
          </cell>
          <cell r="L2194" t="str">
            <v>合格</v>
          </cell>
          <cell r="M2194" t="str">
            <v>丁梅/王建敏</v>
          </cell>
          <cell r="N2194" t="str">
            <v>181126-1-65</v>
          </cell>
        </row>
        <row r="2195">
          <cell r="E2195" t="str">
            <v>HFMET181122A2433-16-120</v>
          </cell>
          <cell r="F2195" t="str">
            <v>Meta 51，E04</v>
          </cell>
          <cell r="G2195">
            <v>20</v>
          </cell>
          <cell r="H2195" t="str">
            <v>阴道分泌物</v>
          </cell>
          <cell r="I2195">
            <v>585</v>
          </cell>
          <cell r="J2195">
            <v>8.32</v>
          </cell>
          <cell r="K2195">
            <v>20.9</v>
          </cell>
          <cell r="L2195" t="str">
            <v>合格</v>
          </cell>
          <cell r="M2195" t="str">
            <v>丁梅/王建敏</v>
          </cell>
          <cell r="N2195" t="str">
            <v>181126-1-66</v>
          </cell>
        </row>
        <row r="2196">
          <cell r="E2196" t="str">
            <v>HFMET181122A2434-17-120</v>
          </cell>
          <cell r="F2196" t="str">
            <v>Meta 51，E05</v>
          </cell>
          <cell r="G2196">
            <v>20</v>
          </cell>
          <cell r="H2196" t="str">
            <v>阴道分泌物</v>
          </cell>
          <cell r="I2196">
            <v>550</v>
          </cell>
          <cell r="J2196">
            <v>18.440000000000001</v>
          </cell>
          <cell r="K2196">
            <v>48.13</v>
          </cell>
          <cell r="L2196" t="str">
            <v>合格</v>
          </cell>
          <cell r="M2196" t="str">
            <v>丁梅/王建敏</v>
          </cell>
          <cell r="N2196" t="str">
            <v>181126-1-67</v>
          </cell>
        </row>
        <row r="2197">
          <cell r="E2197" t="str">
            <v>HFMET181122A2435-21-120</v>
          </cell>
          <cell r="F2197" t="str">
            <v>Meta 51，E06</v>
          </cell>
          <cell r="G2197">
            <v>20</v>
          </cell>
          <cell r="H2197" t="str">
            <v>阴道分泌物</v>
          </cell>
          <cell r="I2197">
            <v>580</v>
          </cell>
          <cell r="J2197">
            <v>14.81</v>
          </cell>
          <cell r="K2197">
            <v>36.93</v>
          </cell>
          <cell r="L2197" t="str">
            <v>合格</v>
          </cell>
          <cell r="M2197" t="str">
            <v>丁梅/王建敏</v>
          </cell>
          <cell r="N2197" t="str">
            <v>181126-1-68</v>
          </cell>
        </row>
        <row r="2198">
          <cell r="E2198" t="str">
            <v>HFMET181122A2436-27-120</v>
          </cell>
          <cell r="F2198" t="str">
            <v>Meta 51，E07</v>
          </cell>
          <cell r="G2198">
            <v>20</v>
          </cell>
          <cell r="H2198" t="str">
            <v>阴道分泌物</v>
          </cell>
          <cell r="I2198">
            <v>622</v>
          </cell>
          <cell r="J2198">
            <v>2.2400000000000002</v>
          </cell>
          <cell r="K2198">
            <v>5.43</v>
          </cell>
          <cell r="L2198" t="str">
            <v>合格</v>
          </cell>
          <cell r="M2198" t="str">
            <v>丁梅/王建敏</v>
          </cell>
          <cell r="N2198" t="str">
            <v>181126-1-69</v>
          </cell>
        </row>
        <row r="2199">
          <cell r="E2199" t="str">
            <v>HFMET181122A2437-84-120</v>
          </cell>
          <cell r="F2199" t="str">
            <v>Meta 51，E08</v>
          </cell>
          <cell r="G2199">
            <v>20</v>
          </cell>
          <cell r="H2199" t="str">
            <v>阴道分泌物</v>
          </cell>
          <cell r="I2199">
            <v>554</v>
          </cell>
          <cell r="J2199">
            <v>19.82</v>
          </cell>
          <cell r="K2199">
            <v>51.04</v>
          </cell>
          <cell r="L2199" t="str">
            <v>合格</v>
          </cell>
          <cell r="M2199" t="str">
            <v>丁梅/王建敏</v>
          </cell>
          <cell r="N2199" t="str">
            <v>181126-1-70</v>
          </cell>
        </row>
        <row r="2200">
          <cell r="E2200" t="str">
            <v>HFMET181122A2438-85-120</v>
          </cell>
          <cell r="F2200" t="str">
            <v>Meta 51，E09</v>
          </cell>
          <cell r="G2200">
            <v>20</v>
          </cell>
          <cell r="H2200" t="str">
            <v>阴道分泌物</v>
          </cell>
          <cell r="I2200">
            <v>616</v>
          </cell>
          <cell r="J2200">
            <v>3.12</v>
          </cell>
          <cell r="K2200">
            <v>7.59</v>
          </cell>
          <cell r="L2200" t="str">
            <v>合格</v>
          </cell>
          <cell r="M2200" t="str">
            <v>丁梅/王建敏</v>
          </cell>
          <cell r="N2200" t="str">
            <v>181126-1-71</v>
          </cell>
        </row>
        <row r="2201">
          <cell r="E2201" t="str">
            <v>HFMET181122A2439-86-120</v>
          </cell>
          <cell r="F2201" t="str">
            <v>Meta 51，E10</v>
          </cell>
          <cell r="G2201">
            <v>20</v>
          </cell>
          <cell r="H2201" t="str">
            <v>阴道分泌物</v>
          </cell>
          <cell r="I2201">
            <v>635</v>
          </cell>
          <cell r="J2201">
            <v>0.47</v>
          </cell>
          <cell r="K2201">
            <v>1.1399999999999999</v>
          </cell>
          <cell r="L2201" t="str">
            <v>不合格</v>
          </cell>
          <cell r="M2201" t="str">
            <v>丁梅/王建敏</v>
          </cell>
          <cell r="N2201" t="str">
            <v>181126-1-72</v>
          </cell>
        </row>
        <row r="2202">
          <cell r="E2202" t="str">
            <v>HFMET181122A2440-1-121</v>
          </cell>
          <cell r="F2202" t="str">
            <v>Meta 51，E11</v>
          </cell>
          <cell r="G2202">
            <v>20</v>
          </cell>
          <cell r="H2202" t="str">
            <v>阴道分泌物</v>
          </cell>
          <cell r="I2202">
            <v>563</v>
          </cell>
          <cell r="J2202">
            <v>32.29</v>
          </cell>
          <cell r="K2202">
            <v>81.19</v>
          </cell>
          <cell r="L2202" t="str">
            <v>合格</v>
          </cell>
          <cell r="M2202" t="str">
            <v>丁梅/王建敏</v>
          </cell>
          <cell r="N2202" t="str">
            <v>181126-1-73</v>
          </cell>
        </row>
        <row r="2203">
          <cell r="E2203" t="str">
            <v>HFMET181122A2441-16-121</v>
          </cell>
          <cell r="F2203" t="str">
            <v>Meta 51，E12</v>
          </cell>
          <cell r="G2203">
            <v>20</v>
          </cell>
          <cell r="H2203" t="str">
            <v>阴道分泌物</v>
          </cell>
          <cell r="I2203">
            <v>561</v>
          </cell>
          <cell r="J2203">
            <v>30.78</v>
          </cell>
          <cell r="K2203">
            <v>77.64</v>
          </cell>
          <cell r="L2203" t="str">
            <v>合格</v>
          </cell>
          <cell r="M2203" t="str">
            <v>丁梅/王建敏</v>
          </cell>
          <cell r="N2203" t="str">
            <v>181126-1-74</v>
          </cell>
        </row>
        <row r="2204">
          <cell r="E2204" t="str">
            <v>HFMET181122A2442-17-121</v>
          </cell>
          <cell r="F2204" t="str">
            <v>Meta 51，F01</v>
          </cell>
          <cell r="G2204">
            <v>20</v>
          </cell>
          <cell r="H2204" t="str">
            <v>阴道分泌物</v>
          </cell>
          <cell r="I2204">
            <v>551</v>
          </cell>
          <cell r="J2204">
            <v>33.11</v>
          </cell>
          <cell r="K2204">
            <v>84.13</v>
          </cell>
          <cell r="L2204" t="str">
            <v>合格</v>
          </cell>
          <cell r="M2204" t="str">
            <v>丁梅/王建敏</v>
          </cell>
          <cell r="N2204" t="str">
            <v>181126-1-75</v>
          </cell>
        </row>
        <row r="2205">
          <cell r="E2205" t="str">
            <v>HFMET181122A2443-21-121</v>
          </cell>
          <cell r="F2205" t="str">
            <v>Meta 51，F02</v>
          </cell>
          <cell r="G2205">
            <v>20</v>
          </cell>
          <cell r="H2205" t="str">
            <v>阴道分泌物</v>
          </cell>
          <cell r="I2205">
            <v>559</v>
          </cell>
          <cell r="J2205">
            <v>28.33</v>
          </cell>
          <cell r="K2205">
            <v>72.72</v>
          </cell>
          <cell r="L2205" t="str">
            <v>合格</v>
          </cell>
          <cell r="M2205" t="str">
            <v>丁梅/王建敏</v>
          </cell>
          <cell r="N2205" t="str">
            <v>181126-1-76</v>
          </cell>
        </row>
        <row r="2206">
          <cell r="E2206" t="str">
            <v>HFMET181122A2444-27-121</v>
          </cell>
          <cell r="F2206" t="str">
            <v>Meta 51，F03</v>
          </cell>
          <cell r="G2206">
            <v>20</v>
          </cell>
          <cell r="H2206" t="str">
            <v>阴道分泌物</v>
          </cell>
          <cell r="I2206">
            <v>564</v>
          </cell>
          <cell r="J2206">
            <v>14.25</v>
          </cell>
          <cell r="K2206">
            <v>36.31</v>
          </cell>
          <cell r="L2206" t="str">
            <v>合格</v>
          </cell>
          <cell r="M2206" t="str">
            <v>丁梅/王建敏</v>
          </cell>
          <cell r="N2206" t="str">
            <v>181126-1-77</v>
          </cell>
        </row>
        <row r="2207">
          <cell r="E2207" t="str">
            <v>HFMET181122A2445-84-121</v>
          </cell>
          <cell r="F2207" t="str">
            <v>Meta 51，F04</v>
          </cell>
          <cell r="G2207">
            <v>20</v>
          </cell>
          <cell r="H2207" t="str">
            <v>阴道分泌物</v>
          </cell>
          <cell r="I2207">
            <v>595</v>
          </cell>
          <cell r="J2207">
            <v>6.64</v>
          </cell>
          <cell r="K2207">
            <v>16.649999999999999</v>
          </cell>
          <cell r="L2207" t="str">
            <v>合格</v>
          </cell>
          <cell r="M2207" t="str">
            <v>丁梅/王建敏</v>
          </cell>
          <cell r="N2207" t="str">
            <v>181126-1-78</v>
          </cell>
        </row>
        <row r="2208">
          <cell r="E2208" t="str">
            <v>HFMET181122A2446-85-121</v>
          </cell>
          <cell r="F2208" t="str">
            <v>Meta 51，F05</v>
          </cell>
          <cell r="G2208">
            <v>20</v>
          </cell>
          <cell r="H2208" t="str">
            <v>阴道分泌物</v>
          </cell>
          <cell r="I2208">
            <v>570</v>
          </cell>
          <cell r="J2208">
            <v>12.57</v>
          </cell>
          <cell r="K2208">
            <v>32.06</v>
          </cell>
          <cell r="L2208" t="str">
            <v>合格</v>
          </cell>
          <cell r="M2208" t="str">
            <v>丁梅/王建敏</v>
          </cell>
          <cell r="N2208" t="str">
            <v>181126-1-79</v>
          </cell>
        </row>
        <row r="2209">
          <cell r="E2209" t="str">
            <v>HFMET181122A2447-86-121</v>
          </cell>
          <cell r="F2209" t="str">
            <v>Meta 51，F06</v>
          </cell>
          <cell r="G2209">
            <v>20</v>
          </cell>
          <cell r="H2209" t="str">
            <v>阴道分泌物</v>
          </cell>
          <cell r="I2209">
            <v>550</v>
          </cell>
          <cell r="J2209">
            <v>37.43</v>
          </cell>
          <cell r="K2209">
            <v>97</v>
          </cell>
          <cell r="L2209" t="str">
            <v>合格</v>
          </cell>
          <cell r="M2209" t="str">
            <v>丁梅/王建敏</v>
          </cell>
          <cell r="N2209" t="str">
            <v>181126-1-80</v>
          </cell>
        </row>
        <row r="2210">
          <cell r="E2210" t="str">
            <v>HFMET181122A2448-1-122</v>
          </cell>
          <cell r="F2210" t="str">
            <v>Meta 51，F07</v>
          </cell>
          <cell r="G2210">
            <v>20</v>
          </cell>
          <cell r="H2210" t="str">
            <v>阴道分泌物</v>
          </cell>
          <cell r="I2210">
            <v>593</v>
          </cell>
          <cell r="J2210">
            <v>5.33</v>
          </cell>
          <cell r="K2210">
            <v>13.39</v>
          </cell>
          <cell r="L2210" t="str">
            <v>合格</v>
          </cell>
          <cell r="M2210" t="str">
            <v>丁梅/王建敏</v>
          </cell>
          <cell r="N2210" t="str">
            <v>181126-1-81</v>
          </cell>
        </row>
        <row r="2211">
          <cell r="E2211" t="str">
            <v>HFMET181122A2449-16-122</v>
          </cell>
          <cell r="F2211" t="str">
            <v>Meta 51，F08</v>
          </cell>
          <cell r="G2211">
            <v>20</v>
          </cell>
          <cell r="H2211" t="str">
            <v>阴道分泌物</v>
          </cell>
          <cell r="I2211">
            <v>553</v>
          </cell>
          <cell r="J2211">
            <v>14.21</v>
          </cell>
          <cell r="K2211">
            <v>36.94</v>
          </cell>
          <cell r="L2211" t="str">
            <v>合格</v>
          </cell>
          <cell r="M2211" t="str">
            <v>丁梅/王建敏</v>
          </cell>
          <cell r="N2211" t="str">
            <v>181126-1-82</v>
          </cell>
        </row>
        <row r="2212">
          <cell r="E2212" t="str">
            <v>HFMET181122A2450-17-122</v>
          </cell>
          <cell r="F2212" t="str">
            <v>Meta 51，F09</v>
          </cell>
          <cell r="G2212">
            <v>20</v>
          </cell>
          <cell r="H2212" t="str">
            <v>阴道分泌物</v>
          </cell>
          <cell r="I2212">
            <v>558</v>
          </cell>
          <cell r="J2212">
            <v>32.03</v>
          </cell>
          <cell r="K2212">
            <v>81.239999999999995</v>
          </cell>
          <cell r="L2212" t="str">
            <v>合格</v>
          </cell>
          <cell r="M2212" t="str">
            <v>丁梅/王建敏</v>
          </cell>
          <cell r="N2212" t="str">
            <v>181126-1-83</v>
          </cell>
        </row>
        <row r="2213">
          <cell r="E2213" t="str">
            <v>HFMET181122A2451-21-122</v>
          </cell>
          <cell r="F2213" t="str">
            <v>Meta 51，F10</v>
          </cell>
          <cell r="G2213">
            <v>20</v>
          </cell>
          <cell r="H2213" t="str">
            <v>阴道分泌物</v>
          </cell>
          <cell r="I2213">
            <v>571</v>
          </cell>
          <cell r="J2213">
            <v>8.76</v>
          </cell>
          <cell r="K2213">
            <v>22.5</v>
          </cell>
          <cell r="L2213" t="str">
            <v>合格</v>
          </cell>
          <cell r="M2213" t="str">
            <v>丁梅/王建敏</v>
          </cell>
          <cell r="N2213" t="str">
            <v>181126-1-84</v>
          </cell>
        </row>
        <row r="2214">
          <cell r="E2214" t="str">
            <v>HFMET181122A2452-27-122</v>
          </cell>
          <cell r="F2214" t="str">
            <v>Meta 51，F11</v>
          </cell>
          <cell r="G2214">
            <v>20</v>
          </cell>
          <cell r="H2214" t="str">
            <v>阴道分泌物</v>
          </cell>
          <cell r="I2214">
            <v>616</v>
          </cell>
          <cell r="J2214">
            <v>1.67</v>
          </cell>
          <cell r="K2214">
            <v>4.1100000000000003</v>
          </cell>
          <cell r="L2214" t="str">
            <v>合格</v>
          </cell>
          <cell r="M2214" t="str">
            <v>丁梅/王建敏</v>
          </cell>
          <cell r="N2214" t="str">
            <v>181126-1-85</v>
          </cell>
        </row>
        <row r="2215">
          <cell r="E2215" t="str">
            <v>HFMET181122A2453-84-122</v>
          </cell>
          <cell r="F2215" t="str">
            <v>Meta 51，F12</v>
          </cell>
          <cell r="G2215">
            <v>20</v>
          </cell>
          <cell r="H2215" t="str">
            <v>阴道分泌物</v>
          </cell>
          <cell r="I2215">
            <v>538</v>
          </cell>
          <cell r="J2215">
            <v>19.7</v>
          </cell>
          <cell r="K2215">
            <v>52.25</v>
          </cell>
          <cell r="L2215" t="str">
            <v>合格</v>
          </cell>
          <cell r="M2215" t="str">
            <v>丁梅/王建敏</v>
          </cell>
          <cell r="N2215" t="str">
            <v>181126-1-86</v>
          </cell>
        </row>
        <row r="2216">
          <cell r="E2216" t="str">
            <v>HFMET181122A2454-85-122</v>
          </cell>
          <cell r="F2216" t="str">
            <v>Meta 51，G01</v>
          </cell>
          <cell r="G2216">
            <v>20</v>
          </cell>
          <cell r="H2216" t="str">
            <v>阴道分泌物</v>
          </cell>
          <cell r="I2216">
            <v>535</v>
          </cell>
          <cell r="J2216">
            <v>29.45</v>
          </cell>
          <cell r="K2216">
            <v>77.64</v>
          </cell>
          <cell r="L2216" t="str">
            <v>合格</v>
          </cell>
          <cell r="M2216" t="str">
            <v>丁梅/王建敏</v>
          </cell>
          <cell r="N2216" t="str">
            <v>181126-1-87</v>
          </cell>
        </row>
        <row r="2217">
          <cell r="E2217" t="str">
            <v>HFMET181122A2455-86-122</v>
          </cell>
          <cell r="F2217" t="str">
            <v>Meta 51，G02</v>
          </cell>
          <cell r="G2217">
            <v>20</v>
          </cell>
          <cell r="H2217" t="str">
            <v>阴道分泌物</v>
          </cell>
          <cell r="I2217">
            <v>548</v>
          </cell>
          <cell r="J2217">
            <v>24.14</v>
          </cell>
          <cell r="K2217">
            <v>63.41</v>
          </cell>
          <cell r="L2217" t="str">
            <v>合格</v>
          </cell>
          <cell r="M2217" t="str">
            <v>丁梅/王建敏</v>
          </cell>
          <cell r="N2217" t="str">
            <v>181126-1-88</v>
          </cell>
        </row>
        <row r="2218">
          <cell r="E2218" t="str">
            <v>HFMET181122A2456-1-123</v>
          </cell>
          <cell r="F2218" t="str">
            <v>Meta 51，G03</v>
          </cell>
          <cell r="G2218">
            <v>20</v>
          </cell>
          <cell r="H2218" t="str">
            <v>阴道分泌物</v>
          </cell>
          <cell r="I2218">
            <v>539</v>
          </cell>
          <cell r="J2218">
            <v>33.21</v>
          </cell>
          <cell r="K2218">
            <v>86.94</v>
          </cell>
          <cell r="L2218" t="str">
            <v>合格</v>
          </cell>
          <cell r="M2218" t="str">
            <v>丁梅/王建敏</v>
          </cell>
          <cell r="N2218" t="str">
            <v>181126-1-89</v>
          </cell>
        </row>
        <row r="2219">
          <cell r="E2219" t="str">
            <v>HFMET181122A2457-16-123</v>
          </cell>
          <cell r="F2219" t="str">
            <v>Meta 51，G04</v>
          </cell>
          <cell r="G2219">
            <v>20</v>
          </cell>
          <cell r="H2219" t="str">
            <v>阴道分泌物</v>
          </cell>
          <cell r="I2219">
            <v>607</v>
          </cell>
          <cell r="J2219">
            <v>4.18</v>
          </cell>
          <cell r="K2219">
            <v>10.31</v>
          </cell>
          <cell r="L2219" t="str">
            <v>合格</v>
          </cell>
          <cell r="M2219" t="str">
            <v>丁梅/王建敏</v>
          </cell>
          <cell r="N2219" t="str">
            <v>181126-1-90</v>
          </cell>
        </row>
        <row r="2220">
          <cell r="E2220" t="str">
            <v>HFMET181122A2458-17-123</v>
          </cell>
          <cell r="F2220" t="str">
            <v>Meta 51，G05</v>
          </cell>
          <cell r="G2220">
            <v>20</v>
          </cell>
          <cell r="H2220" t="str">
            <v>阴道分泌物</v>
          </cell>
          <cell r="I2220">
            <v>593</v>
          </cell>
          <cell r="J2220">
            <v>6.65</v>
          </cell>
          <cell r="K2220">
            <v>16.440000000000001</v>
          </cell>
          <cell r="L2220" t="str">
            <v>合格</v>
          </cell>
          <cell r="M2220" t="str">
            <v>丁梅/王建敏</v>
          </cell>
          <cell r="N2220" t="str">
            <v>181126-1-91</v>
          </cell>
        </row>
        <row r="2221">
          <cell r="E2221" t="str">
            <v>HFMET181122A2459-21-123</v>
          </cell>
          <cell r="F2221" t="str">
            <v>Meta 51，G06</v>
          </cell>
          <cell r="G2221">
            <v>20</v>
          </cell>
          <cell r="H2221" t="str">
            <v>阴道分泌物</v>
          </cell>
          <cell r="I2221">
            <v>625</v>
          </cell>
          <cell r="J2221">
            <v>2.42</v>
          </cell>
          <cell r="K2221">
            <v>5.86</v>
          </cell>
          <cell r="L2221" t="str">
            <v>合格</v>
          </cell>
          <cell r="M2221" t="str">
            <v>丁梅/王建敏</v>
          </cell>
          <cell r="N2221" t="str">
            <v>181126-1-92</v>
          </cell>
        </row>
        <row r="2222">
          <cell r="E2222" t="str">
            <v>HFMET181122A2460-27-123</v>
          </cell>
          <cell r="F2222" t="str">
            <v>Meta 51，G07</v>
          </cell>
          <cell r="G2222">
            <v>20</v>
          </cell>
          <cell r="H2222" t="str">
            <v>阴道分泌物</v>
          </cell>
          <cell r="I2222">
            <v>605</v>
          </cell>
          <cell r="J2222">
            <v>6.31</v>
          </cell>
          <cell r="K2222">
            <v>15.41</v>
          </cell>
          <cell r="L2222" t="str">
            <v>合格</v>
          </cell>
          <cell r="M2222" t="str">
            <v>丁梅/王建敏</v>
          </cell>
          <cell r="N2222" t="str">
            <v>181126-1-93</v>
          </cell>
        </row>
        <row r="2223">
          <cell r="E2223" t="str">
            <v>HFMET181122A2461-84-123</v>
          </cell>
          <cell r="F2223" t="str">
            <v>Meta 51，G08</v>
          </cell>
          <cell r="G2223">
            <v>20</v>
          </cell>
          <cell r="H2223" t="str">
            <v>阴道分泌物</v>
          </cell>
          <cell r="I2223">
            <v>593</v>
          </cell>
          <cell r="J2223">
            <v>22.85</v>
          </cell>
          <cell r="K2223">
            <v>55.82</v>
          </cell>
          <cell r="L2223" t="str">
            <v>合格</v>
          </cell>
          <cell r="M2223" t="str">
            <v>丁梅/王建敏</v>
          </cell>
          <cell r="N2223" t="str">
            <v>181126-1-94</v>
          </cell>
        </row>
        <row r="2224">
          <cell r="E2224" t="str">
            <v>HFMET181122A2462-85-123</v>
          </cell>
          <cell r="F2224" t="str">
            <v>Meta 51，G09</v>
          </cell>
          <cell r="G2224">
            <v>20</v>
          </cell>
          <cell r="H2224" t="str">
            <v>阴道分泌物</v>
          </cell>
          <cell r="I2224">
            <v>546</v>
          </cell>
          <cell r="J2224">
            <v>24.32</v>
          </cell>
          <cell r="K2224">
            <v>63.43</v>
          </cell>
          <cell r="L2224" t="str">
            <v>合格</v>
          </cell>
          <cell r="M2224" t="str">
            <v>丁梅/王建敏</v>
          </cell>
          <cell r="N2224" t="str">
            <v>181126-1-95</v>
          </cell>
        </row>
        <row r="2225">
          <cell r="E2225" t="str">
            <v>HFMET181122A2463-86-123</v>
          </cell>
          <cell r="F2225" t="str">
            <v>Meta 51，G10</v>
          </cell>
          <cell r="G2225">
            <v>20</v>
          </cell>
          <cell r="H2225" t="str">
            <v>阴道分泌物</v>
          </cell>
          <cell r="I2225">
            <v>574</v>
          </cell>
          <cell r="J2225">
            <v>16.850000000000001</v>
          </cell>
          <cell r="K2225">
            <v>42.77</v>
          </cell>
          <cell r="L2225" t="str">
            <v>合格</v>
          </cell>
          <cell r="M2225" t="str">
            <v>丁梅/王建敏</v>
          </cell>
          <cell r="N2225" t="str">
            <v>181126-1-96</v>
          </cell>
        </row>
        <row r="2226">
          <cell r="E2226" t="str">
            <v>HFMET181122A2464-1-130</v>
          </cell>
          <cell r="F2226" t="str">
            <v>Meta 51，G11</v>
          </cell>
          <cell r="G2226">
            <v>20</v>
          </cell>
          <cell r="H2226" t="str">
            <v>阴道分泌物</v>
          </cell>
          <cell r="I2226">
            <v>568</v>
          </cell>
          <cell r="J2226">
            <v>12.49</v>
          </cell>
          <cell r="K2226">
            <v>31.48</v>
          </cell>
          <cell r="L2226" t="str">
            <v>合格</v>
          </cell>
          <cell r="M2226" t="str">
            <v>丁梅/王建敏</v>
          </cell>
          <cell r="N2226" t="str">
            <v>181127-3-1</v>
          </cell>
        </row>
        <row r="2227">
          <cell r="E2227" t="str">
            <v>HFMET181122A2465-16-130</v>
          </cell>
          <cell r="F2227" t="str">
            <v>Meta 51，G12</v>
          </cell>
          <cell r="G2227">
            <v>20</v>
          </cell>
          <cell r="H2227" t="str">
            <v>阴道分泌物</v>
          </cell>
          <cell r="I2227">
            <v>557</v>
          </cell>
          <cell r="J2227">
            <v>16.420000000000002</v>
          </cell>
          <cell r="K2227">
            <v>42.2</v>
          </cell>
          <cell r="L2227" t="str">
            <v>合格</v>
          </cell>
          <cell r="M2227" t="str">
            <v>丁梅/王建敏</v>
          </cell>
          <cell r="N2227" t="str">
            <v>181127-3-2</v>
          </cell>
        </row>
        <row r="2228">
          <cell r="E2228" t="str">
            <v>HFMET181122A2466-17-130</v>
          </cell>
          <cell r="F2228" t="str">
            <v>Meta 51，H01</v>
          </cell>
          <cell r="G2228">
            <v>20</v>
          </cell>
          <cell r="H2228" t="str">
            <v>阴道分泌物</v>
          </cell>
          <cell r="I2228">
            <v>577</v>
          </cell>
          <cell r="J2228">
            <v>13.46</v>
          </cell>
          <cell r="K2228">
            <v>33.93</v>
          </cell>
          <cell r="L2228" t="str">
            <v>合格</v>
          </cell>
          <cell r="M2228" t="str">
            <v>丁梅/王建敏</v>
          </cell>
          <cell r="N2228" t="str">
            <v>181127-3-3</v>
          </cell>
        </row>
        <row r="2229">
          <cell r="E2229" t="str">
            <v>HFMET181122A2467-21-130</v>
          </cell>
          <cell r="F2229" t="str">
            <v>Meta 51，H02</v>
          </cell>
          <cell r="G2229">
            <v>20</v>
          </cell>
          <cell r="H2229" t="str">
            <v>阴道分泌物</v>
          </cell>
          <cell r="I2229">
            <v>635</v>
          </cell>
          <cell r="J2229">
            <v>0.8</v>
          </cell>
          <cell r="K2229">
            <v>1.91</v>
          </cell>
          <cell r="L2229" t="str">
            <v>不合格</v>
          </cell>
          <cell r="M2229" t="str">
            <v>丁梅/王建敏</v>
          </cell>
          <cell r="N2229" t="str">
            <v>181127-3-4</v>
          </cell>
        </row>
        <row r="2230">
          <cell r="E2230" t="str">
            <v>HFMET181122A2468-27-130</v>
          </cell>
          <cell r="F2230" t="str">
            <v>Meta 51，H03</v>
          </cell>
          <cell r="G2230">
            <v>20</v>
          </cell>
          <cell r="H2230" t="str">
            <v>阴道分泌物</v>
          </cell>
          <cell r="I2230">
            <v>568</v>
          </cell>
          <cell r="J2230">
            <v>18.88</v>
          </cell>
          <cell r="K2230">
            <v>47.23</v>
          </cell>
          <cell r="L2230" t="str">
            <v>合格</v>
          </cell>
          <cell r="M2230" t="str">
            <v>丁梅/王建敏</v>
          </cell>
          <cell r="N2230" t="str">
            <v>181127-3-5</v>
          </cell>
        </row>
        <row r="2231">
          <cell r="E2231" t="str">
            <v>HFMET181122A2469-84-130</v>
          </cell>
          <cell r="F2231" t="str">
            <v>Meta 51，H04</v>
          </cell>
          <cell r="G2231">
            <v>20</v>
          </cell>
          <cell r="H2231" t="str">
            <v>阴道分泌物</v>
          </cell>
          <cell r="I2231">
            <v>637</v>
          </cell>
          <cell r="J2231">
            <v>1.77</v>
          </cell>
          <cell r="K2231">
            <v>4.2300000000000004</v>
          </cell>
          <cell r="L2231" t="str">
            <v>合格</v>
          </cell>
          <cell r="M2231" t="str">
            <v>丁梅/王建敏</v>
          </cell>
          <cell r="N2231" t="str">
            <v>181127-3-6</v>
          </cell>
        </row>
        <row r="2232">
          <cell r="E2232" t="str">
            <v>HFMET181122A2470-85-130</v>
          </cell>
          <cell r="F2232" t="str">
            <v>Meta 51，H05</v>
          </cell>
          <cell r="G2232">
            <v>20</v>
          </cell>
          <cell r="H2232" t="str">
            <v>阴道分泌物</v>
          </cell>
          <cell r="I2232">
            <v>574</v>
          </cell>
          <cell r="J2232">
            <v>18.559999999999999</v>
          </cell>
          <cell r="K2232">
            <v>46.52</v>
          </cell>
          <cell r="L2232" t="str">
            <v>合格</v>
          </cell>
          <cell r="M2232" t="str">
            <v>丁梅/王建敏</v>
          </cell>
          <cell r="N2232" t="str">
            <v>181127-3-7</v>
          </cell>
        </row>
        <row r="2233">
          <cell r="E2233" t="str">
            <v>HFMET181122A2471-86-130</v>
          </cell>
          <cell r="F2233" t="str">
            <v>Meta 51，H06</v>
          </cell>
          <cell r="G2233">
            <v>20</v>
          </cell>
          <cell r="H2233" t="str">
            <v>阴道分泌物</v>
          </cell>
          <cell r="I2233">
            <v>633</v>
          </cell>
          <cell r="J2233">
            <v>2.27</v>
          </cell>
          <cell r="K2233">
            <v>5.47</v>
          </cell>
          <cell r="L2233" t="str">
            <v>合格</v>
          </cell>
          <cell r="M2233" t="str">
            <v>丁梅/王建敏</v>
          </cell>
          <cell r="N2233" t="str">
            <v>181127-3-8</v>
          </cell>
        </row>
        <row r="2234">
          <cell r="E2234" t="str">
            <v>HFMET181122A2472-1-131</v>
          </cell>
          <cell r="F2234" t="str">
            <v>Meta 51，H07</v>
          </cell>
          <cell r="G2234">
            <v>20</v>
          </cell>
          <cell r="H2234" t="str">
            <v>阴道分泌物</v>
          </cell>
          <cell r="I2234">
            <v>581</v>
          </cell>
          <cell r="J2234">
            <v>11.56</v>
          </cell>
          <cell r="K2234">
            <v>28.93</v>
          </cell>
          <cell r="L2234" t="str">
            <v>合格</v>
          </cell>
          <cell r="M2234" t="str">
            <v>丁梅/王建敏</v>
          </cell>
          <cell r="N2234" t="str">
            <v>181127-3-9</v>
          </cell>
        </row>
        <row r="2235">
          <cell r="E2235" t="str">
            <v>HFMET181122A2473-16-131</v>
          </cell>
          <cell r="F2235" t="str">
            <v>Meta 51，H08</v>
          </cell>
          <cell r="G2235">
            <v>20</v>
          </cell>
          <cell r="H2235" t="str">
            <v>阴道分泌物</v>
          </cell>
          <cell r="I2235">
            <v>581</v>
          </cell>
          <cell r="J2235">
            <v>20.74</v>
          </cell>
          <cell r="K2235">
            <v>50.87</v>
          </cell>
          <cell r="L2235" t="str">
            <v>合格</v>
          </cell>
          <cell r="M2235" t="str">
            <v>丁梅/王建敏</v>
          </cell>
          <cell r="N2235" t="str">
            <v>181127-3-10</v>
          </cell>
        </row>
        <row r="2236">
          <cell r="E2236" t="str">
            <v>HFMET181122A2474-17-131</v>
          </cell>
          <cell r="F2236" t="str">
            <v>Meta 51，H09</v>
          </cell>
          <cell r="G2236">
            <v>20</v>
          </cell>
          <cell r="H2236" t="str">
            <v>阴道分泌物</v>
          </cell>
          <cell r="I2236">
            <v>560</v>
          </cell>
          <cell r="J2236">
            <v>17.87</v>
          </cell>
          <cell r="K2236">
            <v>45.69</v>
          </cell>
          <cell r="L2236" t="str">
            <v>合格</v>
          </cell>
          <cell r="M2236" t="str">
            <v>丁梅/王建敏</v>
          </cell>
          <cell r="N2236" t="str">
            <v>181127-3-11</v>
          </cell>
        </row>
        <row r="2237">
          <cell r="E2237" t="str">
            <v>HFMET181122A2475-21-131</v>
          </cell>
          <cell r="F2237" t="str">
            <v>Meta 51，H10</v>
          </cell>
          <cell r="G2237">
            <v>20</v>
          </cell>
          <cell r="H2237" t="str">
            <v>阴道分泌物</v>
          </cell>
          <cell r="I2237">
            <v>570</v>
          </cell>
          <cell r="J2237">
            <v>21.8</v>
          </cell>
          <cell r="K2237">
            <v>54.52</v>
          </cell>
          <cell r="L2237" t="str">
            <v>合格</v>
          </cell>
          <cell r="M2237" t="str">
            <v>丁梅/王建敏</v>
          </cell>
          <cell r="N2237" t="str">
            <v>181127-3-12</v>
          </cell>
        </row>
        <row r="2238">
          <cell r="E2238" t="str">
            <v>HFMET181122A2476-27-131</v>
          </cell>
          <cell r="F2238" t="str">
            <v>Meta 51，H11</v>
          </cell>
          <cell r="G2238">
            <v>20</v>
          </cell>
          <cell r="H2238" t="str">
            <v>阴道分泌物</v>
          </cell>
          <cell r="I2238">
            <v>568</v>
          </cell>
          <cell r="J2238">
            <v>14.74</v>
          </cell>
          <cell r="K2238">
            <v>37.22</v>
          </cell>
          <cell r="L2238" t="str">
            <v>合格</v>
          </cell>
          <cell r="M2238" t="str">
            <v>丁梅/王建敏</v>
          </cell>
          <cell r="N2238" t="str">
            <v>181127-3-13</v>
          </cell>
        </row>
        <row r="2239">
          <cell r="E2239" t="str">
            <v>HFMET181122A2477-84-131</v>
          </cell>
          <cell r="F2239" t="str">
            <v>Meta 51，H12</v>
          </cell>
          <cell r="G2239">
            <v>20</v>
          </cell>
          <cell r="H2239" t="str">
            <v>阴道分泌物</v>
          </cell>
          <cell r="I2239">
            <v>631</v>
          </cell>
          <cell r="J2239">
            <v>1.28</v>
          </cell>
          <cell r="K2239">
            <v>3.09</v>
          </cell>
          <cell r="L2239" t="str">
            <v>合格</v>
          </cell>
          <cell r="M2239" t="str">
            <v>丁梅/王建敏</v>
          </cell>
          <cell r="N2239" t="str">
            <v>181127-3-14</v>
          </cell>
        </row>
        <row r="2240">
          <cell r="E2240" t="str">
            <v>NTC-27-131</v>
          </cell>
          <cell r="F2240" t="str">
            <v>Meta 52，A01</v>
          </cell>
          <cell r="G2240">
            <v>20</v>
          </cell>
          <cell r="I2240" t="str">
            <v>无目的峰</v>
          </cell>
          <cell r="J2240">
            <v>5.3699999999999998E-2</v>
          </cell>
          <cell r="K2240">
            <v>0.15197099999999999</v>
          </cell>
          <cell r="L2240" t="str">
            <v>合格</v>
          </cell>
          <cell r="M2240" t="str">
            <v>丁梅/王建敏</v>
          </cell>
          <cell r="N2240" t="str">
            <v>181127-3-15</v>
          </cell>
        </row>
        <row r="2241">
          <cell r="E2241" t="str">
            <v>NTC-84-131</v>
          </cell>
          <cell r="F2241" t="str">
            <v>Meta 52，A02</v>
          </cell>
          <cell r="G2241">
            <v>20</v>
          </cell>
          <cell r="I2241" t="str">
            <v>无目的峰</v>
          </cell>
          <cell r="J2241">
            <v>2.8999999999999998E-3</v>
          </cell>
          <cell r="K2241">
            <v>8.2070000000000008E-3</v>
          </cell>
          <cell r="L2241" t="str">
            <v>合格</v>
          </cell>
          <cell r="M2241" t="str">
            <v>丁梅/王建敏</v>
          </cell>
          <cell r="N2241" t="str">
            <v>181127-3-16</v>
          </cell>
        </row>
        <row r="2242">
          <cell r="E2242" t="str">
            <v>HFMET181122A2272-93-111</v>
          </cell>
          <cell r="F2242" t="str">
            <v>Meta 49，G10</v>
          </cell>
          <cell r="G2242">
            <v>20</v>
          </cell>
          <cell r="H2242" t="str">
            <v>中药灌肠</v>
          </cell>
          <cell r="I2242">
            <v>588</v>
          </cell>
          <cell r="J2242" t="str">
            <v>14.57</v>
          </cell>
          <cell r="K2242" t="str">
            <v>35.55</v>
          </cell>
          <cell r="L2242" t="str">
            <v>合格</v>
          </cell>
          <cell r="M2242" t="str">
            <v>王建敏/朱绪涛</v>
          </cell>
          <cell r="N2242" t="str">
            <v>181126-2-1</v>
          </cell>
        </row>
        <row r="2243">
          <cell r="E2243" t="str">
            <v>HFMET181122A2273-94-111</v>
          </cell>
          <cell r="F2243" t="str">
            <v>Meta 49，G11</v>
          </cell>
          <cell r="G2243">
            <v>20</v>
          </cell>
          <cell r="H2243" t="str">
            <v>中药灌肠</v>
          </cell>
          <cell r="I2243">
            <v>584</v>
          </cell>
          <cell r="J2243" t="str">
            <v>15.56</v>
          </cell>
          <cell r="K2243" t="str">
            <v>37.98</v>
          </cell>
          <cell r="L2243" t="str">
            <v>合格</v>
          </cell>
          <cell r="M2243" t="str">
            <v>王建敏/朱绪涛</v>
          </cell>
          <cell r="N2243" t="str">
            <v>181126-2-2</v>
          </cell>
        </row>
        <row r="2244">
          <cell r="E2244" t="str">
            <v>HFMET181122A2274-95-111</v>
          </cell>
          <cell r="F2244" t="str">
            <v>Meta 49，G12</v>
          </cell>
          <cell r="G2244">
            <v>20</v>
          </cell>
          <cell r="H2244" t="str">
            <v>粪便</v>
          </cell>
          <cell r="I2244">
            <v>571</v>
          </cell>
          <cell r="J2244" t="str">
            <v>24.16</v>
          </cell>
          <cell r="K2244" t="str">
            <v>58.98</v>
          </cell>
          <cell r="L2244" t="str">
            <v>合格</v>
          </cell>
          <cell r="M2244" t="str">
            <v>王建敏/朱绪涛</v>
          </cell>
          <cell r="N2244" t="str">
            <v>181126-2-3</v>
          </cell>
        </row>
        <row r="2245">
          <cell r="E2245" t="str">
            <v>HFMET181122A2275-96-111</v>
          </cell>
          <cell r="F2245" t="str">
            <v>Meta 49，H01</v>
          </cell>
          <cell r="G2245">
            <v>20</v>
          </cell>
          <cell r="H2245" t="str">
            <v>粪便</v>
          </cell>
          <cell r="I2245">
            <v>559</v>
          </cell>
          <cell r="J2245" t="str">
            <v>39.46</v>
          </cell>
          <cell r="K2245" t="str">
            <v>100.02</v>
          </cell>
          <cell r="L2245" t="str">
            <v>合格</v>
          </cell>
          <cell r="M2245" t="str">
            <v>王建敏/朱绪涛</v>
          </cell>
          <cell r="N2245" t="str">
            <v>181126-2-4</v>
          </cell>
        </row>
        <row r="2246">
          <cell r="E2246" t="str">
            <v>HFMET181122A2276-97-111</v>
          </cell>
          <cell r="F2246" t="str">
            <v>Meta 49，H02</v>
          </cell>
          <cell r="G2246">
            <v>20</v>
          </cell>
          <cell r="H2246" t="str">
            <v>中药灌肠</v>
          </cell>
          <cell r="I2246">
            <v>563</v>
          </cell>
          <cell r="J2246" t="str">
            <v>29.18</v>
          </cell>
          <cell r="K2246" t="str">
            <v>73.17</v>
          </cell>
          <cell r="L2246" t="str">
            <v>合格</v>
          </cell>
          <cell r="M2246" t="str">
            <v>王建敏/朱绪涛</v>
          </cell>
          <cell r="N2246" t="str">
            <v>181126-2-5</v>
          </cell>
        </row>
        <row r="2247">
          <cell r="E2247" t="str">
            <v>HFMET181122A2277-98-111</v>
          </cell>
          <cell r="F2247" t="str">
            <v>Meta 49，H03</v>
          </cell>
          <cell r="G2247">
            <v>20</v>
          </cell>
          <cell r="H2247" t="str">
            <v>粪便</v>
          </cell>
          <cell r="I2247">
            <v>550</v>
          </cell>
          <cell r="J2247" t="str">
            <v>28.00</v>
          </cell>
          <cell r="K2247" t="str">
            <v>71.87</v>
          </cell>
          <cell r="L2247" t="str">
            <v>合格</v>
          </cell>
          <cell r="M2247" t="str">
            <v>王建敏/朱绪涛</v>
          </cell>
          <cell r="N2247" t="str">
            <v>181126-2-6</v>
          </cell>
        </row>
        <row r="2248">
          <cell r="E2248" t="str">
            <v>HFMET181122A2278-99-111</v>
          </cell>
          <cell r="F2248" t="str">
            <v>Meta 49，H04</v>
          </cell>
          <cell r="G2248">
            <v>20</v>
          </cell>
          <cell r="H2248" t="str">
            <v>中药灌肠</v>
          </cell>
          <cell r="I2248">
            <v>569</v>
          </cell>
          <cell r="J2248" t="str">
            <v>25.39</v>
          </cell>
          <cell r="K2248" t="str">
            <v>63.74</v>
          </cell>
          <cell r="L2248" t="str">
            <v>合格</v>
          </cell>
          <cell r="M2248" t="str">
            <v>王建敏/朱绪涛</v>
          </cell>
          <cell r="N2248" t="str">
            <v>181126-2-7</v>
          </cell>
        </row>
        <row r="2249">
          <cell r="E2249" t="str">
            <v>HFMET181122A2279-100-111</v>
          </cell>
          <cell r="F2249" t="str">
            <v>Meta 49，H05</v>
          </cell>
          <cell r="G2249">
            <v>20</v>
          </cell>
          <cell r="H2249" t="str">
            <v>粪便</v>
          </cell>
          <cell r="I2249">
            <v>555</v>
          </cell>
          <cell r="J2249" t="str">
            <v>21.34</v>
          </cell>
          <cell r="K2249" t="str">
            <v>55.16</v>
          </cell>
          <cell r="L2249" t="str">
            <v>合格</v>
          </cell>
          <cell r="M2249" t="str">
            <v>王建敏/朱绪涛</v>
          </cell>
          <cell r="N2249" t="str">
            <v>181126-2-8</v>
          </cell>
        </row>
        <row r="2250">
          <cell r="E2250" t="str">
            <v>HFMET181122A2280-93-112</v>
          </cell>
          <cell r="F2250" t="str">
            <v>Meta 49，H06</v>
          </cell>
          <cell r="G2250">
            <v>20</v>
          </cell>
          <cell r="H2250" t="str">
            <v>中药灌肠</v>
          </cell>
          <cell r="I2250">
            <v>582</v>
          </cell>
          <cell r="J2250" t="str">
            <v>18.41</v>
          </cell>
          <cell r="K2250" t="str">
            <v>45.41</v>
          </cell>
          <cell r="L2250" t="str">
            <v>合格</v>
          </cell>
          <cell r="M2250" t="str">
            <v>王建敏/朱绪涛</v>
          </cell>
          <cell r="N2250" t="str">
            <v>181126-2-9</v>
          </cell>
        </row>
        <row r="2251">
          <cell r="E2251" t="str">
            <v>HFMET181122A2281-94-112</v>
          </cell>
          <cell r="F2251" t="str">
            <v>Meta 49，H07</v>
          </cell>
          <cell r="G2251">
            <v>20</v>
          </cell>
          <cell r="H2251" t="str">
            <v>粪便</v>
          </cell>
          <cell r="I2251">
            <v>559</v>
          </cell>
          <cell r="J2251" t="str">
            <v>29.77</v>
          </cell>
          <cell r="K2251" t="str">
            <v>75.93</v>
          </cell>
          <cell r="L2251" t="str">
            <v>合格</v>
          </cell>
          <cell r="M2251" t="str">
            <v>王建敏/朱绪涛</v>
          </cell>
          <cell r="N2251" t="str">
            <v>181126-2-10</v>
          </cell>
        </row>
        <row r="2252">
          <cell r="E2252" t="str">
            <v>HFMET181122A2282-95-112</v>
          </cell>
          <cell r="F2252" t="str">
            <v>Meta 49，H08</v>
          </cell>
          <cell r="G2252">
            <v>20</v>
          </cell>
          <cell r="H2252" t="str">
            <v>中药灌肠</v>
          </cell>
          <cell r="I2252">
            <v>604</v>
          </cell>
          <cell r="J2252" t="str">
            <v>19.59</v>
          </cell>
          <cell r="K2252" t="str">
            <v>46.01</v>
          </cell>
          <cell r="L2252" t="str">
            <v>合格</v>
          </cell>
          <cell r="M2252" t="str">
            <v>王建敏/朱绪涛</v>
          </cell>
          <cell r="N2252" t="str">
            <v>181126-2-11</v>
          </cell>
        </row>
        <row r="2253">
          <cell r="E2253" t="str">
            <v>HFMET181122A2283-96-112</v>
          </cell>
          <cell r="F2253" t="str">
            <v>Meta 49，H09</v>
          </cell>
          <cell r="G2253">
            <v>20</v>
          </cell>
          <cell r="H2253" t="str">
            <v>粪便</v>
          </cell>
          <cell r="I2253">
            <v>560</v>
          </cell>
          <cell r="J2253" t="str">
            <v>29.13</v>
          </cell>
          <cell r="K2253" t="str">
            <v>72.75</v>
          </cell>
          <cell r="L2253" t="str">
            <v>合格</v>
          </cell>
          <cell r="M2253" t="str">
            <v>王建敏/朱绪涛</v>
          </cell>
          <cell r="N2253" t="str">
            <v>181126-2-12</v>
          </cell>
        </row>
        <row r="2254">
          <cell r="E2254" t="str">
            <v>HFMET181122A2284-97-112</v>
          </cell>
          <cell r="F2254" t="str">
            <v>Meta 49，H10</v>
          </cell>
          <cell r="G2254">
            <v>20</v>
          </cell>
          <cell r="H2254" t="str">
            <v>粪便</v>
          </cell>
          <cell r="I2254">
            <v>550</v>
          </cell>
          <cell r="J2254" t="str">
            <v>24.94</v>
          </cell>
          <cell r="K2254" t="str">
            <v>63.76</v>
          </cell>
          <cell r="L2254" t="str">
            <v>合格</v>
          </cell>
          <cell r="M2254" t="str">
            <v>王建敏/朱绪涛</v>
          </cell>
          <cell r="N2254" t="str">
            <v>181126-2-13</v>
          </cell>
        </row>
        <row r="2255">
          <cell r="E2255" t="str">
            <v>HFMET181122A2285-98-112</v>
          </cell>
          <cell r="F2255" t="str">
            <v>Meta 49，H11</v>
          </cell>
          <cell r="G2255">
            <v>20</v>
          </cell>
          <cell r="H2255" t="str">
            <v>粪便</v>
          </cell>
          <cell r="I2255">
            <v>544</v>
          </cell>
          <cell r="J2255" t="str">
            <v>26.86</v>
          </cell>
          <cell r="K2255" t="str">
            <v>69.61</v>
          </cell>
          <cell r="L2255" t="str">
            <v>合格</v>
          </cell>
          <cell r="M2255" t="str">
            <v>王建敏/朱绪涛</v>
          </cell>
          <cell r="N2255" t="str">
            <v>181126-2-14</v>
          </cell>
        </row>
        <row r="2256">
          <cell r="E2256" t="str">
            <v>HFMET181122A2286-99-112</v>
          </cell>
          <cell r="F2256" t="str">
            <v>Meta 49，H12</v>
          </cell>
          <cell r="G2256">
            <v>20</v>
          </cell>
          <cell r="H2256" t="str">
            <v>粪便</v>
          </cell>
          <cell r="I2256">
            <v>551</v>
          </cell>
          <cell r="J2256" t="str">
            <v>27.93</v>
          </cell>
          <cell r="K2256" t="str">
            <v>72.43</v>
          </cell>
          <cell r="L2256" t="str">
            <v>合格</v>
          </cell>
          <cell r="M2256" t="str">
            <v>王建敏/朱绪涛</v>
          </cell>
          <cell r="N2256" t="str">
            <v>181126-2-15</v>
          </cell>
        </row>
        <row r="2257">
          <cell r="E2257" t="str">
            <v>HFMET181122A2287-100-112</v>
          </cell>
          <cell r="F2257" t="str">
            <v>Meta 50，A01</v>
          </cell>
          <cell r="G2257">
            <v>20</v>
          </cell>
          <cell r="H2257" t="str">
            <v>粪便</v>
          </cell>
          <cell r="I2257">
            <v>555</v>
          </cell>
          <cell r="J2257" t="str">
            <v>25.38</v>
          </cell>
          <cell r="K2257" t="str">
            <v>65.36</v>
          </cell>
          <cell r="L2257" t="str">
            <v>合格</v>
          </cell>
          <cell r="M2257" t="str">
            <v>王建敏/朱绪涛</v>
          </cell>
          <cell r="N2257" t="str">
            <v>181126-2-16</v>
          </cell>
        </row>
        <row r="2258">
          <cell r="E2258" t="str">
            <v>HFMET181122A2288-93-113</v>
          </cell>
          <cell r="F2258" t="str">
            <v>Meta 50，A02</v>
          </cell>
          <cell r="G2258">
            <v>20</v>
          </cell>
          <cell r="H2258" t="str">
            <v>粪便</v>
          </cell>
          <cell r="I2258">
            <v>555</v>
          </cell>
          <cell r="J2258" t="str">
            <v>25.47</v>
          </cell>
          <cell r="K2258" t="str">
            <v>65.30</v>
          </cell>
          <cell r="L2258" t="str">
            <v>合格</v>
          </cell>
          <cell r="M2258" t="str">
            <v>王建敏/朱绪涛</v>
          </cell>
          <cell r="N2258" t="str">
            <v>181126-2-17</v>
          </cell>
        </row>
        <row r="2259">
          <cell r="E2259" t="str">
            <v>HFMET181122A2289-94-113</v>
          </cell>
          <cell r="F2259" t="str">
            <v>Meta 50，A03</v>
          </cell>
          <cell r="G2259">
            <v>20</v>
          </cell>
          <cell r="H2259" t="str">
            <v>粪便</v>
          </cell>
          <cell r="I2259">
            <v>563</v>
          </cell>
          <cell r="J2259" t="str">
            <v>25.41</v>
          </cell>
          <cell r="K2259" t="str">
            <v>63.93</v>
          </cell>
          <cell r="L2259" t="str">
            <v>合格</v>
          </cell>
          <cell r="M2259" t="str">
            <v>王建敏/朱绪涛</v>
          </cell>
          <cell r="N2259" t="str">
            <v>181126-2-18</v>
          </cell>
        </row>
        <row r="2260">
          <cell r="E2260" t="str">
            <v>HFMET181122A2290-95-113</v>
          </cell>
          <cell r="F2260" t="str">
            <v>Meta 50，A04</v>
          </cell>
          <cell r="G2260">
            <v>20</v>
          </cell>
          <cell r="H2260" t="str">
            <v>粪便</v>
          </cell>
          <cell r="I2260">
            <v>555</v>
          </cell>
          <cell r="J2260" t="str">
            <v>31.44</v>
          </cell>
          <cell r="K2260" t="str">
            <v>79.62</v>
          </cell>
          <cell r="L2260" t="str">
            <v>合格</v>
          </cell>
          <cell r="M2260" t="str">
            <v>王建敏/朱绪涛</v>
          </cell>
          <cell r="N2260" t="str">
            <v>181126-2-19</v>
          </cell>
        </row>
        <row r="2261">
          <cell r="E2261" t="str">
            <v>HFMET181122A2291-96-113</v>
          </cell>
          <cell r="F2261" t="str">
            <v>Meta 50，A05</v>
          </cell>
          <cell r="G2261">
            <v>20</v>
          </cell>
          <cell r="H2261" t="str">
            <v>粪便</v>
          </cell>
          <cell r="I2261">
            <v>565</v>
          </cell>
          <cell r="J2261" t="str">
            <v>28.57</v>
          </cell>
          <cell r="K2261" t="str">
            <v>70.91</v>
          </cell>
          <cell r="L2261" t="str">
            <v>合格</v>
          </cell>
          <cell r="M2261" t="str">
            <v>王建敏/朱绪涛</v>
          </cell>
          <cell r="N2261" t="str">
            <v>181126-2-20</v>
          </cell>
        </row>
        <row r="2262">
          <cell r="E2262" t="str">
            <v>HFMET181122A2292-97-113</v>
          </cell>
          <cell r="F2262" t="str">
            <v>Meta 50，A06</v>
          </cell>
          <cell r="G2262">
            <v>20</v>
          </cell>
          <cell r="H2262" t="str">
            <v>粪便</v>
          </cell>
          <cell r="I2262">
            <v>562</v>
          </cell>
          <cell r="J2262" t="str">
            <v>27.99</v>
          </cell>
          <cell r="K2262" t="str">
            <v>70.46</v>
          </cell>
          <cell r="L2262" t="str">
            <v>合格</v>
          </cell>
          <cell r="M2262" t="str">
            <v>王建敏/朱绪涛</v>
          </cell>
          <cell r="N2262" t="str">
            <v>181126-2-21</v>
          </cell>
        </row>
        <row r="2263">
          <cell r="E2263" t="str">
            <v>HFMET181122A2293-98-113</v>
          </cell>
          <cell r="F2263" t="str">
            <v>Meta 50，A07</v>
          </cell>
          <cell r="G2263">
            <v>20</v>
          </cell>
          <cell r="H2263" t="str">
            <v>粪便</v>
          </cell>
          <cell r="I2263">
            <v>578</v>
          </cell>
          <cell r="J2263" t="str">
            <v>20.94</v>
          </cell>
          <cell r="K2263" t="str">
            <v>50.81</v>
          </cell>
          <cell r="L2263" t="str">
            <v>合格</v>
          </cell>
          <cell r="M2263" t="str">
            <v>王建敏/朱绪涛</v>
          </cell>
          <cell r="N2263" t="str">
            <v>181126-2-22</v>
          </cell>
        </row>
        <row r="2264">
          <cell r="E2264" t="str">
            <v>HFMET181122A2294-99-113</v>
          </cell>
          <cell r="F2264" t="str">
            <v>Meta 50，A08</v>
          </cell>
          <cell r="G2264">
            <v>20</v>
          </cell>
          <cell r="H2264" t="str">
            <v>粪便</v>
          </cell>
          <cell r="I2264">
            <v>586</v>
          </cell>
          <cell r="J2264" t="str">
            <v>16.16</v>
          </cell>
          <cell r="K2264" t="str">
            <v>39.35</v>
          </cell>
          <cell r="L2264" t="str">
            <v>合格</v>
          </cell>
          <cell r="M2264" t="str">
            <v>王建敏/朱绪涛</v>
          </cell>
          <cell r="N2264" t="str">
            <v>181126-2-23</v>
          </cell>
        </row>
        <row r="2265">
          <cell r="E2265" t="str">
            <v>HFMET181122A2295-100-113</v>
          </cell>
          <cell r="F2265" t="str">
            <v>Meta 50，A09</v>
          </cell>
          <cell r="G2265">
            <v>20</v>
          </cell>
          <cell r="H2265" t="str">
            <v>粪便</v>
          </cell>
          <cell r="I2265">
            <v>587</v>
          </cell>
          <cell r="J2265" t="str">
            <v>14.98</v>
          </cell>
          <cell r="K2265" t="str">
            <v>37.22</v>
          </cell>
          <cell r="L2265" t="str">
            <v>合格</v>
          </cell>
          <cell r="M2265" t="str">
            <v>王建敏/朱绪涛</v>
          </cell>
          <cell r="N2265" t="str">
            <v>181126-2-24</v>
          </cell>
        </row>
        <row r="2266">
          <cell r="E2266" t="str">
            <v>HFMET181122A2296-93-114</v>
          </cell>
          <cell r="F2266" t="str">
            <v>Meta 50，A10</v>
          </cell>
          <cell r="G2266">
            <v>20</v>
          </cell>
          <cell r="H2266" t="str">
            <v>中药灌肠</v>
          </cell>
          <cell r="I2266">
            <v>570</v>
          </cell>
          <cell r="J2266" t="str">
            <v>18.03</v>
          </cell>
          <cell r="K2266" t="str">
            <v>45.51</v>
          </cell>
          <cell r="L2266" t="str">
            <v>合格</v>
          </cell>
          <cell r="M2266" t="str">
            <v>王建敏/朱绪涛</v>
          </cell>
          <cell r="N2266" t="str">
            <v>181126-2-25</v>
          </cell>
        </row>
        <row r="2267">
          <cell r="E2267" t="str">
            <v>HFMET181122A2297-94-114</v>
          </cell>
          <cell r="F2267" t="str">
            <v>Meta 50，A11</v>
          </cell>
          <cell r="G2267">
            <v>20</v>
          </cell>
          <cell r="H2267" t="str">
            <v>粪便</v>
          </cell>
          <cell r="I2267">
            <v>579</v>
          </cell>
          <cell r="J2267" t="str">
            <v>14.34</v>
          </cell>
          <cell r="K2267" t="str">
            <v>35.95</v>
          </cell>
          <cell r="L2267" t="str">
            <v>合格</v>
          </cell>
          <cell r="M2267" t="str">
            <v>王建敏/朱绪涛</v>
          </cell>
          <cell r="N2267" t="str">
            <v>181126-2-26</v>
          </cell>
        </row>
        <row r="2268">
          <cell r="E2268" t="str">
            <v>HFMET181122A2298-95-114</v>
          </cell>
          <cell r="F2268" t="str">
            <v>Meta 50，A12</v>
          </cell>
          <cell r="G2268">
            <v>20</v>
          </cell>
          <cell r="H2268" t="str">
            <v>粪便</v>
          </cell>
          <cell r="I2268">
            <v>564</v>
          </cell>
          <cell r="J2268" t="str">
            <v>18.01</v>
          </cell>
          <cell r="K2268" t="str">
            <v>45.58</v>
          </cell>
          <cell r="L2268" t="str">
            <v>合格</v>
          </cell>
          <cell r="M2268" t="str">
            <v>王建敏/朱绪涛</v>
          </cell>
          <cell r="N2268" t="str">
            <v>181126-2-27</v>
          </cell>
        </row>
        <row r="2269">
          <cell r="E2269" t="str">
            <v>HFMET181122A2299-96-114</v>
          </cell>
          <cell r="F2269" t="str">
            <v>Meta 50，B01</v>
          </cell>
          <cell r="G2269">
            <v>20</v>
          </cell>
          <cell r="H2269" t="str">
            <v>粪便</v>
          </cell>
          <cell r="I2269">
            <v>543</v>
          </cell>
          <cell r="J2269" t="str">
            <v>43.24</v>
          </cell>
          <cell r="K2269" t="str">
            <v>108.85</v>
          </cell>
          <cell r="L2269" t="str">
            <v>合格</v>
          </cell>
          <cell r="M2269" t="str">
            <v>王建敏/朱绪涛</v>
          </cell>
          <cell r="N2269" t="str">
            <v>181126-2-28</v>
          </cell>
        </row>
        <row r="2270">
          <cell r="E2270" t="str">
            <v>HFMET181122A2300-97-114</v>
          </cell>
          <cell r="F2270" t="str">
            <v>Meta 50，B02</v>
          </cell>
          <cell r="G2270">
            <v>20</v>
          </cell>
          <cell r="H2270" t="str">
            <v>粪便</v>
          </cell>
          <cell r="I2270">
            <v>596</v>
          </cell>
          <cell r="J2270" t="str">
            <v>15.11</v>
          </cell>
          <cell r="K2270" t="str">
            <v>35.90</v>
          </cell>
          <cell r="L2270" t="str">
            <v>合格</v>
          </cell>
          <cell r="M2270" t="str">
            <v>王建敏/朱绪涛</v>
          </cell>
          <cell r="N2270" t="str">
            <v>181126-2-29</v>
          </cell>
        </row>
        <row r="2271">
          <cell r="E2271" t="str">
            <v>HFMET181122A2301-98-114</v>
          </cell>
          <cell r="F2271" t="str">
            <v>Meta 50，B03</v>
          </cell>
          <cell r="G2271">
            <v>20</v>
          </cell>
          <cell r="H2271" t="str">
            <v>粪便</v>
          </cell>
          <cell r="I2271">
            <v>584</v>
          </cell>
          <cell r="J2271" t="str">
            <v>17.62</v>
          </cell>
          <cell r="K2271" t="str">
            <v>42.78</v>
          </cell>
          <cell r="L2271" t="str">
            <v>合格</v>
          </cell>
          <cell r="M2271" t="str">
            <v>王建敏/朱绪涛</v>
          </cell>
          <cell r="N2271" t="str">
            <v>181126-2-30</v>
          </cell>
        </row>
        <row r="2272">
          <cell r="E2272" t="str">
            <v>HFMET181122A2302-99-114</v>
          </cell>
          <cell r="F2272" t="str">
            <v>Meta 50，B04</v>
          </cell>
          <cell r="G2272">
            <v>20</v>
          </cell>
          <cell r="H2272" t="str">
            <v>粪便</v>
          </cell>
          <cell r="I2272">
            <v>567</v>
          </cell>
          <cell r="J2272" t="str">
            <v>24.09</v>
          </cell>
          <cell r="K2272" t="str">
            <v>60.24</v>
          </cell>
          <cell r="L2272" t="str">
            <v>合格</v>
          </cell>
          <cell r="M2272" t="str">
            <v>王建敏/朱绪涛</v>
          </cell>
          <cell r="N2272" t="str">
            <v>181126-2-31</v>
          </cell>
        </row>
        <row r="2273">
          <cell r="E2273" t="str">
            <v>HFMET181122A2303-100-114</v>
          </cell>
          <cell r="F2273" t="str">
            <v>Meta 50，B05</v>
          </cell>
          <cell r="G2273">
            <v>20</v>
          </cell>
          <cell r="H2273" t="str">
            <v>粪便</v>
          </cell>
          <cell r="I2273">
            <v>568</v>
          </cell>
          <cell r="J2273" t="str">
            <v>20.83</v>
          </cell>
          <cell r="K2273" t="str">
            <v>52.76</v>
          </cell>
          <cell r="L2273" t="str">
            <v>合格</v>
          </cell>
          <cell r="M2273" t="str">
            <v>王建敏/朱绪涛</v>
          </cell>
          <cell r="N2273" t="str">
            <v>181126-2-32</v>
          </cell>
        </row>
        <row r="2274">
          <cell r="E2274" t="str">
            <v>HFMET181122A2304-93-115</v>
          </cell>
          <cell r="F2274" t="str">
            <v>Meta 50，B06</v>
          </cell>
          <cell r="G2274">
            <v>20</v>
          </cell>
          <cell r="H2274" t="str">
            <v>粪便</v>
          </cell>
          <cell r="I2274">
            <v>583</v>
          </cell>
          <cell r="J2274" t="str">
            <v>16.89</v>
          </cell>
          <cell r="K2274" t="str">
            <v>41.10</v>
          </cell>
          <cell r="L2274" t="str">
            <v>合格</v>
          </cell>
          <cell r="M2274" t="str">
            <v>王建敏/朱绪涛</v>
          </cell>
          <cell r="N2274" t="str">
            <v>181126-2-33</v>
          </cell>
        </row>
        <row r="2275">
          <cell r="E2275" t="str">
            <v>HFMET181122A2305-94-115</v>
          </cell>
          <cell r="F2275" t="str">
            <v>Meta 50，B07</v>
          </cell>
          <cell r="G2275">
            <v>20</v>
          </cell>
          <cell r="H2275" t="str">
            <v>粪便</v>
          </cell>
          <cell r="I2275">
            <v>557</v>
          </cell>
          <cell r="J2275" t="str">
            <v>25.53</v>
          </cell>
          <cell r="K2275" t="str">
            <v>65.34</v>
          </cell>
          <cell r="L2275" t="str">
            <v>合格</v>
          </cell>
          <cell r="M2275" t="str">
            <v>王建敏/朱绪涛</v>
          </cell>
          <cell r="N2275" t="str">
            <v>181126-2-34</v>
          </cell>
        </row>
        <row r="2276">
          <cell r="E2276" t="str">
            <v>HFMET181122A2306-95-115</v>
          </cell>
          <cell r="F2276" t="str">
            <v>Meta 50，B08</v>
          </cell>
          <cell r="G2276">
            <v>20</v>
          </cell>
          <cell r="H2276" t="str">
            <v>粪便</v>
          </cell>
          <cell r="I2276">
            <v>562</v>
          </cell>
          <cell r="J2276" t="str">
            <v>21.97</v>
          </cell>
          <cell r="K2276" t="str">
            <v>55.16</v>
          </cell>
          <cell r="L2276" t="str">
            <v>合格</v>
          </cell>
          <cell r="M2276" t="str">
            <v>王建敏/朱绪涛</v>
          </cell>
          <cell r="N2276" t="str">
            <v>181126-2-35</v>
          </cell>
        </row>
        <row r="2277">
          <cell r="E2277" t="str">
            <v>HFMET181122A2307-96-115</v>
          </cell>
          <cell r="F2277" t="str">
            <v>Meta 50，B09</v>
          </cell>
          <cell r="G2277">
            <v>20</v>
          </cell>
          <cell r="H2277" t="str">
            <v>粪便</v>
          </cell>
          <cell r="I2277">
            <v>589</v>
          </cell>
          <cell r="J2277" t="str">
            <v>23.77</v>
          </cell>
          <cell r="K2277" t="str">
            <v>56.38</v>
          </cell>
          <cell r="L2277" t="str">
            <v>合格</v>
          </cell>
          <cell r="M2277" t="str">
            <v>王建敏/朱绪涛</v>
          </cell>
          <cell r="N2277" t="str">
            <v>181126-2-36</v>
          </cell>
        </row>
        <row r="2278">
          <cell r="E2278" t="str">
            <v>HFMET181122A2308-97-115</v>
          </cell>
          <cell r="F2278" t="str">
            <v>Meta 50，B10</v>
          </cell>
          <cell r="G2278">
            <v>20</v>
          </cell>
          <cell r="H2278" t="str">
            <v>粪便</v>
          </cell>
          <cell r="I2278">
            <v>595</v>
          </cell>
          <cell r="J2278" t="str">
            <v>16.24</v>
          </cell>
          <cell r="K2278" t="str">
            <v>38.33</v>
          </cell>
          <cell r="L2278" t="str">
            <v>合格</v>
          </cell>
          <cell r="M2278" t="str">
            <v>王建敏/朱绪涛</v>
          </cell>
          <cell r="N2278" t="str">
            <v>181126-2-37</v>
          </cell>
        </row>
        <row r="2279">
          <cell r="E2279" t="str">
            <v>HFMET181122A2309-98-115</v>
          </cell>
          <cell r="F2279" t="str">
            <v>Meta 50，B11</v>
          </cell>
          <cell r="G2279">
            <v>20</v>
          </cell>
          <cell r="H2279" t="str">
            <v>粪便</v>
          </cell>
          <cell r="I2279">
            <v>659</v>
          </cell>
          <cell r="J2279" t="str">
            <v>4.81</v>
          </cell>
          <cell r="K2279" t="str">
            <v>10.73</v>
          </cell>
          <cell r="L2279" t="str">
            <v>合格</v>
          </cell>
          <cell r="M2279" t="str">
            <v>王建敏/朱绪涛</v>
          </cell>
          <cell r="N2279" t="str">
            <v>181126-2-38</v>
          </cell>
        </row>
        <row r="2280">
          <cell r="E2280" t="str">
            <v>HFMET181122A2310-99-115</v>
          </cell>
          <cell r="F2280" t="str">
            <v>Meta 50，B12</v>
          </cell>
          <cell r="G2280">
            <v>20</v>
          </cell>
          <cell r="H2280" t="str">
            <v>粪便</v>
          </cell>
          <cell r="I2280">
            <v>565</v>
          </cell>
          <cell r="J2280" t="str">
            <v>24.69</v>
          </cell>
          <cell r="K2280" t="str">
            <v>62.33</v>
          </cell>
          <cell r="L2280" t="str">
            <v>合格</v>
          </cell>
          <cell r="M2280" t="str">
            <v>王建敏/朱绪涛</v>
          </cell>
          <cell r="N2280" t="str">
            <v>181126-2-39</v>
          </cell>
        </row>
        <row r="2281">
          <cell r="E2281" t="str">
            <v>HFMET181122A2311-100-115</v>
          </cell>
          <cell r="F2281" t="str">
            <v>Meta 50，C01</v>
          </cell>
          <cell r="G2281">
            <v>20</v>
          </cell>
          <cell r="H2281" t="str">
            <v>粪便</v>
          </cell>
          <cell r="I2281">
            <v>585</v>
          </cell>
          <cell r="J2281" t="str">
            <v>21.05</v>
          </cell>
          <cell r="K2281" t="str">
            <v>51.34</v>
          </cell>
          <cell r="L2281" t="str">
            <v>合格</v>
          </cell>
          <cell r="M2281" t="str">
            <v>王建敏/朱绪涛</v>
          </cell>
          <cell r="N2281" t="str">
            <v>181126-2-40</v>
          </cell>
        </row>
        <row r="2282">
          <cell r="E2282" t="str">
            <v>HFMET181122A2312-93-116</v>
          </cell>
          <cell r="F2282" t="str">
            <v>Meta 50，C02</v>
          </cell>
          <cell r="G2282">
            <v>20</v>
          </cell>
          <cell r="H2282" t="str">
            <v>粪便</v>
          </cell>
          <cell r="I2282">
            <v>579</v>
          </cell>
          <cell r="J2282" t="str">
            <v>16.95</v>
          </cell>
          <cell r="K2282" t="str">
            <v>41.99</v>
          </cell>
          <cell r="L2282" t="str">
            <v>合格</v>
          </cell>
          <cell r="M2282" t="str">
            <v>王建敏/朱绪涛</v>
          </cell>
          <cell r="N2282" t="str">
            <v>181126-2-41</v>
          </cell>
        </row>
        <row r="2283">
          <cell r="E2283" t="str">
            <v>HFMET181122A2326-93-116</v>
          </cell>
          <cell r="F2283" t="str">
            <v>Meta 50，D04</v>
          </cell>
          <cell r="G2283">
            <v>20</v>
          </cell>
          <cell r="I2283" t="str">
            <v>无目的峰</v>
          </cell>
          <cell r="J2283">
            <v>0.06</v>
          </cell>
          <cell r="K2283">
            <v>0.16980000000000001</v>
          </cell>
          <cell r="L2283" t="str">
            <v>合格</v>
          </cell>
          <cell r="M2283" t="str">
            <v>王建敏/朱绪涛</v>
          </cell>
          <cell r="N2283" t="str">
            <v>181126-2-42</v>
          </cell>
        </row>
        <row r="2284">
          <cell r="E2284" t="str">
            <v>HFMET181122A2327-59-76</v>
          </cell>
          <cell r="F2284" t="str">
            <v>Meta 50，D05</v>
          </cell>
          <cell r="G2284">
            <v>20</v>
          </cell>
          <cell r="H2284" t="str">
            <v>土壤</v>
          </cell>
          <cell r="I2284">
            <v>368</v>
          </cell>
          <cell r="J2284" t="str">
            <v>36.13</v>
          </cell>
          <cell r="K2284" t="str">
            <v>145.53</v>
          </cell>
          <cell r="L2284" t="str">
            <v>合格</v>
          </cell>
          <cell r="M2284" t="str">
            <v>王建敏/朱绪涛</v>
          </cell>
          <cell r="N2284" t="str">
            <v>181126-2-43</v>
          </cell>
        </row>
        <row r="2285">
          <cell r="E2285" t="str">
            <v>HFMET181122A2328-60-76</v>
          </cell>
          <cell r="F2285" t="str">
            <v>Meta 50，D06</v>
          </cell>
          <cell r="G2285">
            <v>20</v>
          </cell>
          <cell r="H2285" t="str">
            <v>土壤</v>
          </cell>
          <cell r="I2285">
            <v>370</v>
          </cell>
          <cell r="J2285" t="str">
            <v>37.17</v>
          </cell>
          <cell r="K2285" t="str">
            <v>149.21</v>
          </cell>
          <cell r="L2285" t="str">
            <v>合格</v>
          </cell>
          <cell r="M2285" t="str">
            <v>王建敏/朱绪涛</v>
          </cell>
          <cell r="N2285" t="str">
            <v>181126-2-44</v>
          </cell>
        </row>
        <row r="2286">
          <cell r="E2286" t="str">
            <v>HFMET181122A2329-61-76</v>
          </cell>
          <cell r="F2286" t="str">
            <v>Meta 50，D07</v>
          </cell>
          <cell r="G2286">
            <v>20</v>
          </cell>
          <cell r="H2286" t="str">
            <v>土壤</v>
          </cell>
          <cell r="I2286">
            <v>372</v>
          </cell>
          <cell r="J2286" t="str">
            <v>37.71</v>
          </cell>
          <cell r="K2286" t="str">
            <v>150.09</v>
          </cell>
          <cell r="L2286" t="str">
            <v>合格</v>
          </cell>
          <cell r="M2286" t="str">
            <v>王建敏/朱绪涛</v>
          </cell>
          <cell r="N2286" t="str">
            <v>181126-2-45</v>
          </cell>
        </row>
        <row r="2287">
          <cell r="E2287" t="str">
            <v>HFMET181122A2330-62-76</v>
          </cell>
          <cell r="F2287" t="str">
            <v>Meta 50，D08</v>
          </cell>
          <cell r="G2287">
            <v>20</v>
          </cell>
          <cell r="H2287" t="str">
            <v>土壤</v>
          </cell>
          <cell r="I2287" t="str">
            <v>390/451</v>
          </cell>
          <cell r="J2287" t="str">
            <v>1.06</v>
          </cell>
          <cell r="K2287" t="str">
            <v>4.09</v>
          </cell>
          <cell r="L2287" t="str">
            <v>合格</v>
          </cell>
          <cell r="M2287" t="str">
            <v>王建敏/朱绪涛</v>
          </cell>
          <cell r="N2287" t="str">
            <v>181126-2-46</v>
          </cell>
        </row>
        <row r="2288">
          <cell r="E2288" t="str">
            <v>HFMET181122A2331-63-76</v>
          </cell>
          <cell r="F2288" t="str">
            <v>Meta 50，D09</v>
          </cell>
          <cell r="G2288">
            <v>20</v>
          </cell>
          <cell r="H2288" t="str">
            <v>土壤</v>
          </cell>
          <cell r="I2288" t="str">
            <v>401/355</v>
          </cell>
          <cell r="J2288" t="str">
            <v>1.24</v>
          </cell>
          <cell r="K2288" t="str">
            <v>5.00</v>
          </cell>
          <cell r="L2288" t="str">
            <v>合格</v>
          </cell>
          <cell r="M2288" t="str">
            <v>王建敏/朱绪涛</v>
          </cell>
          <cell r="N2288" t="str">
            <v>181126-2-47</v>
          </cell>
        </row>
        <row r="2289">
          <cell r="E2289" t="str">
            <v>HFMET181122A2332-64-76</v>
          </cell>
          <cell r="F2289" t="str">
            <v>Meta 50，D10</v>
          </cell>
          <cell r="G2289">
            <v>20</v>
          </cell>
          <cell r="H2289" t="str">
            <v>土壤</v>
          </cell>
          <cell r="I2289" t="str">
            <v>405/342</v>
          </cell>
          <cell r="J2289" t="str">
            <v>0.70</v>
          </cell>
          <cell r="K2289" t="str">
            <v>2.72</v>
          </cell>
          <cell r="L2289" t="str">
            <v>不合格</v>
          </cell>
          <cell r="M2289" t="str">
            <v>王建敏/朱绪涛</v>
          </cell>
          <cell r="N2289" t="str">
            <v>181126-2-48</v>
          </cell>
        </row>
        <row r="2290">
          <cell r="E2290" t="str">
            <v>HFMET181122A2333-65-76</v>
          </cell>
          <cell r="F2290" t="str">
            <v>Meta 50，D11</v>
          </cell>
          <cell r="G2290">
            <v>20</v>
          </cell>
          <cell r="H2290" t="str">
            <v>土壤</v>
          </cell>
          <cell r="I2290" t="str">
            <v>438/388</v>
          </cell>
          <cell r="J2290" t="str">
            <v>10.60</v>
          </cell>
          <cell r="K2290" t="str">
            <v>38.75</v>
          </cell>
          <cell r="L2290" t="str">
            <v>合格</v>
          </cell>
          <cell r="M2290" t="str">
            <v>王建敏/朱绪涛</v>
          </cell>
          <cell r="N2290" t="str">
            <v>181126-2-49</v>
          </cell>
        </row>
        <row r="2291">
          <cell r="E2291" t="str">
            <v>HFMET181122A2334-66-76</v>
          </cell>
          <cell r="F2291" t="str">
            <v>Meta 50，D12</v>
          </cell>
          <cell r="G2291">
            <v>20</v>
          </cell>
          <cell r="H2291" t="str">
            <v>土壤</v>
          </cell>
          <cell r="I2291" t="str">
            <v>无</v>
          </cell>
          <cell r="J2291" t="str">
            <v>0.14</v>
          </cell>
          <cell r="K2291" t="str">
            <v>0.54</v>
          </cell>
          <cell r="L2291" t="str">
            <v>不合格</v>
          </cell>
          <cell r="M2291" t="str">
            <v>王建敏/朱绪涛</v>
          </cell>
          <cell r="N2291" t="str">
            <v>181126-2-50</v>
          </cell>
        </row>
        <row r="2292">
          <cell r="E2292" t="str">
            <v>HFMET181122A2335-59-77</v>
          </cell>
          <cell r="F2292" t="str">
            <v>Meta 50，E01</v>
          </cell>
          <cell r="G2292">
            <v>20</v>
          </cell>
          <cell r="H2292" t="str">
            <v>土壤</v>
          </cell>
          <cell r="I2292">
            <v>381</v>
          </cell>
          <cell r="J2292" t="str">
            <v>9.94</v>
          </cell>
          <cell r="K2292" t="str">
            <v>39.51</v>
          </cell>
          <cell r="L2292" t="str">
            <v>合格</v>
          </cell>
          <cell r="M2292" t="str">
            <v>王建敏/朱绪涛</v>
          </cell>
          <cell r="N2292" t="str">
            <v>181126-2-51</v>
          </cell>
        </row>
        <row r="2293">
          <cell r="E2293" t="str">
            <v>HFMET181122A2336-60-77</v>
          </cell>
          <cell r="F2293" t="str">
            <v>Meta 50，E02</v>
          </cell>
          <cell r="G2293">
            <v>20</v>
          </cell>
          <cell r="H2293" t="str">
            <v>土壤</v>
          </cell>
          <cell r="I2293" t="str">
            <v>441/405</v>
          </cell>
          <cell r="J2293" t="str">
            <v>4.69</v>
          </cell>
          <cell r="K2293" t="str">
            <v>16.87</v>
          </cell>
          <cell r="L2293" t="str">
            <v>合格</v>
          </cell>
          <cell r="M2293" t="str">
            <v>王建敏/朱绪涛</v>
          </cell>
          <cell r="N2293" t="str">
            <v>181126-2-52</v>
          </cell>
        </row>
        <row r="2294">
          <cell r="E2294" t="str">
            <v>HFMET181122A2337-61-77</v>
          </cell>
          <cell r="F2294" t="str">
            <v>Meta 50，E03</v>
          </cell>
          <cell r="G2294">
            <v>20</v>
          </cell>
          <cell r="H2294" t="str">
            <v>土壤</v>
          </cell>
          <cell r="I2294">
            <v>378</v>
          </cell>
          <cell r="J2294" t="str">
            <v>13.97</v>
          </cell>
          <cell r="K2294" t="str">
            <v>55.78</v>
          </cell>
          <cell r="L2294" t="str">
            <v>合格</v>
          </cell>
          <cell r="M2294" t="str">
            <v>王建敏/朱绪涛</v>
          </cell>
          <cell r="N2294" t="str">
            <v>181126-2-53</v>
          </cell>
        </row>
        <row r="2295">
          <cell r="E2295" t="str">
            <v>HFMET181122A2338-62-77</v>
          </cell>
          <cell r="F2295" t="str">
            <v>Meta 50，E04</v>
          </cell>
          <cell r="G2295">
            <v>20</v>
          </cell>
          <cell r="H2295" t="str">
            <v>土壤</v>
          </cell>
          <cell r="I2295" t="str">
            <v>379/437</v>
          </cell>
          <cell r="J2295" t="str">
            <v>16.83</v>
          </cell>
          <cell r="K2295" t="str">
            <v>65.20</v>
          </cell>
          <cell r="L2295" t="str">
            <v>合格</v>
          </cell>
          <cell r="M2295" t="str">
            <v>王建敏/朱绪涛</v>
          </cell>
          <cell r="N2295" t="str">
            <v>181126-2-54</v>
          </cell>
        </row>
        <row r="2296">
          <cell r="E2296" t="str">
            <v>HFMET181122A2339-63-77</v>
          </cell>
          <cell r="F2296" t="str">
            <v>Meta 50，E05</v>
          </cell>
          <cell r="G2296">
            <v>20</v>
          </cell>
          <cell r="H2296" t="str">
            <v>土壤</v>
          </cell>
          <cell r="I2296" t="str">
            <v>435/380</v>
          </cell>
          <cell r="J2296" t="str">
            <v>14.67</v>
          </cell>
          <cell r="K2296" t="str">
            <v>55.38</v>
          </cell>
          <cell r="L2296" t="str">
            <v>合格</v>
          </cell>
          <cell r="M2296" t="str">
            <v>王建敏/朱绪涛</v>
          </cell>
          <cell r="N2296" t="str">
            <v>181126-2-55</v>
          </cell>
        </row>
        <row r="2297">
          <cell r="E2297" t="str">
            <v>HFMET181122A2340-64-77</v>
          </cell>
          <cell r="F2297" t="str">
            <v>Meta 50，E06</v>
          </cell>
          <cell r="G2297">
            <v>20</v>
          </cell>
          <cell r="H2297" t="str">
            <v>土壤</v>
          </cell>
          <cell r="I2297" t="str">
            <v>388/408</v>
          </cell>
          <cell r="J2297" t="str">
            <v>1.36</v>
          </cell>
          <cell r="K2297" t="str">
            <v>5.30</v>
          </cell>
          <cell r="L2297" t="str">
            <v>合格</v>
          </cell>
          <cell r="M2297" t="str">
            <v>王建敏/朱绪涛</v>
          </cell>
          <cell r="N2297" t="str">
            <v>181126-2-56</v>
          </cell>
        </row>
        <row r="2298">
          <cell r="E2298" t="str">
            <v>HFMET181122A2341-65-77</v>
          </cell>
          <cell r="F2298" t="str">
            <v>Meta 50，E07</v>
          </cell>
          <cell r="G2298">
            <v>20</v>
          </cell>
          <cell r="H2298" t="str">
            <v>土壤</v>
          </cell>
          <cell r="I2298" t="str">
            <v>437/384</v>
          </cell>
          <cell r="J2298" t="str">
            <v>13.62</v>
          </cell>
          <cell r="K2298" t="str">
            <v>50.67</v>
          </cell>
          <cell r="L2298" t="str">
            <v>合格</v>
          </cell>
          <cell r="M2298" t="str">
            <v>王建敏/朱绪涛</v>
          </cell>
          <cell r="N2298" t="str">
            <v>181126-2-57</v>
          </cell>
        </row>
        <row r="2299">
          <cell r="E2299" t="str">
            <v>HFMET181122A2342-66-77</v>
          </cell>
          <cell r="F2299" t="str">
            <v>Meta 50，E08</v>
          </cell>
          <cell r="G2299">
            <v>20</v>
          </cell>
          <cell r="H2299" t="str">
            <v>土壤</v>
          </cell>
          <cell r="I2299">
            <v>390</v>
          </cell>
          <cell r="J2299" t="str">
            <v>4.06</v>
          </cell>
          <cell r="K2299" t="str">
            <v>15.91</v>
          </cell>
          <cell r="L2299" t="str">
            <v>合格</v>
          </cell>
          <cell r="M2299" t="str">
            <v>王建敏/朱绪涛</v>
          </cell>
          <cell r="N2299" t="str">
            <v>181126-2-58</v>
          </cell>
        </row>
        <row r="2300">
          <cell r="E2300" t="str">
            <v>HFMET181122A2343-59-78</v>
          </cell>
          <cell r="F2300" t="str">
            <v>Meta 50，E09</v>
          </cell>
          <cell r="G2300">
            <v>20</v>
          </cell>
          <cell r="H2300" t="str">
            <v>土壤</v>
          </cell>
          <cell r="I2300">
            <v>385</v>
          </cell>
          <cell r="J2300" t="str">
            <v>5.59</v>
          </cell>
          <cell r="K2300" t="str">
            <v>22.19</v>
          </cell>
          <cell r="L2300" t="str">
            <v>合格</v>
          </cell>
          <cell r="M2300" t="str">
            <v>王建敏/朱绪涛</v>
          </cell>
          <cell r="N2300" t="str">
            <v>181126-2-59</v>
          </cell>
        </row>
        <row r="2301">
          <cell r="E2301" t="str">
            <v>HFMET181122A2344-60-78</v>
          </cell>
          <cell r="F2301" t="str">
            <v>Meta 50，E10</v>
          </cell>
          <cell r="G2301">
            <v>20</v>
          </cell>
          <cell r="H2301" t="str">
            <v>土壤</v>
          </cell>
          <cell r="I2301">
            <v>384</v>
          </cell>
          <cell r="J2301" t="str">
            <v>3.22</v>
          </cell>
          <cell r="K2301" t="str">
            <v>12.78</v>
          </cell>
          <cell r="L2301" t="str">
            <v>合格</v>
          </cell>
          <cell r="M2301" t="str">
            <v>王建敏/朱绪涛</v>
          </cell>
          <cell r="N2301" t="str">
            <v>181126-2-60</v>
          </cell>
        </row>
        <row r="2302">
          <cell r="E2302" t="str">
            <v>HFMET181122A2345-61-78</v>
          </cell>
          <cell r="F2302" t="str">
            <v>Meta 50，E11</v>
          </cell>
          <cell r="G2302">
            <v>20</v>
          </cell>
          <cell r="H2302" t="str">
            <v>土壤</v>
          </cell>
          <cell r="I2302" t="str">
            <v>366/433</v>
          </cell>
          <cell r="J2302" t="str">
            <v>27.21</v>
          </cell>
          <cell r="K2302" t="str">
            <v>110.51</v>
          </cell>
          <cell r="L2302" t="str">
            <v>合格</v>
          </cell>
          <cell r="M2302" t="str">
            <v>王建敏/朱绪涛</v>
          </cell>
          <cell r="N2302" t="str">
            <v>181126-2-61</v>
          </cell>
        </row>
        <row r="2303">
          <cell r="E2303" t="str">
            <v>HFMET181122A2346-62-78</v>
          </cell>
          <cell r="F2303" t="str">
            <v>Meta 50，E12</v>
          </cell>
          <cell r="G2303">
            <v>20</v>
          </cell>
          <cell r="H2303" t="str">
            <v>土壤</v>
          </cell>
          <cell r="I2303" t="str">
            <v>400/386</v>
          </cell>
          <cell r="J2303" t="str">
            <v>1.74</v>
          </cell>
          <cell r="K2303" t="str">
            <v>6.81</v>
          </cell>
          <cell r="L2303" t="str">
            <v>合格</v>
          </cell>
          <cell r="M2303" t="str">
            <v>王建敏/朱绪涛</v>
          </cell>
          <cell r="N2303" t="str">
            <v>181126-2-62</v>
          </cell>
        </row>
        <row r="2304">
          <cell r="E2304" t="str">
            <v>HFMET181122A2347-63-78</v>
          </cell>
          <cell r="F2304" t="str">
            <v>Meta 50，F01</v>
          </cell>
          <cell r="G2304">
            <v>20</v>
          </cell>
          <cell r="H2304" t="str">
            <v>土壤</v>
          </cell>
          <cell r="I2304" t="str">
            <v>372/441</v>
          </cell>
          <cell r="J2304" t="str">
            <v>20.47</v>
          </cell>
          <cell r="K2304" t="str">
            <v>82.62</v>
          </cell>
          <cell r="L2304" t="str">
            <v>合格</v>
          </cell>
          <cell r="M2304" t="str">
            <v>王建敏/朱绪涛</v>
          </cell>
          <cell r="N2304" t="str">
            <v>181126-2-63</v>
          </cell>
        </row>
        <row r="2305">
          <cell r="E2305" t="str">
            <v>HFMET181122A2348-64-78</v>
          </cell>
          <cell r="F2305" t="str">
            <v>Meta 50，F02</v>
          </cell>
          <cell r="G2305">
            <v>20</v>
          </cell>
          <cell r="H2305" t="str">
            <v>土壤</v>
          </cell>
          <cell r="I2305" t="str">
            <v>429/379/339</v>
          </cell>
          <cell r="J2305" t="str">
            <v>15.34</v>
          </cell>
          <cell r="K2305" t="str">
            <v>58.67</v>
          </cell>
          <cell r="L2305" t="str">
            <v>合格</v>
          </cell>
          <cell r="M2305" t="str">
            <v>王建敏/朱绪涛</v>
          </cell>
          <cell r="N2305" t="str">
            <v>181126-2-64</v>
          </cell>
        </row>
        <row r="2306">
          <cell r="E2306" t="str">
            <v>HFMET181122A2349-65-78</v>
          </cell>
          <cell r="F2306" t="str">
            <v>Meta 50，F03</v>
          </cell>
          <cell r="G2306">
            <v>20</v>
          </cell>
          <cell r="H2306" t="str">
            <v>土壤</v>
          </cell>
          <cell r="I2306" t="str">
            <v>440/384/343</v>
          </cell>
          <cell r="J2306" t="str">
            <v>8.66</v>
          </cell>
          <cell r="K2306" t="str">
            <v>32.44</v>
          </cell>
          <cell r="L2306" t="str">
            <v>合格</v>
          </cell>
          <cell r="M2306" t="str">
            <v>王建敏/朱绪涛</v>
          </cell>
          <cell r="N2306" t="str">
            <v>181126-2-65</v>
          </cell>
        </row>
        <row r="2307">
          <cell r="E2307" t="str">
            <v>HFMET181122A2350-66-78</v>
          </cell>
          <cell r="F2307" t="str">
            <v>Meta 50，F04</v>
          </cell>
          <cell r="G2307">
            <v>20</v>
          </cell>
          <cell r="H2307" t="str">
            <v>土壤</v>
          </cell>
          <cell r="I2307" t="str">
            <v>439/386/343/310</v>
          </cell>
          <cell r="J2307" t="str">
            <v>9.79</v>
          </cell>
          <cell r="K2307" t="str">
            <v>36.77</v>
          </cell>
          <cell r="L2307" t="str">
            <v>合格</v>
          </cell>
          <cell r="M2307" t="str">
            <v>王建敏/朱绪涛</v>
          </cell>
          <cell r="N2307" t="str">
            <v>181126-2-66</v>
          </cell>
        </row>
        <row r="2308">
          <cell r="E2308" t="str">
            <v>HFMET181122A2351-59-79</v>
          </cell>
          <cell r="F2308" t="str">
            <v>Meta 50，F05</v>
          </cell>
          <cell r="G2308">
            <v>20</v>
          </cell>
          <cell r="H2308" t="str">
            <v>土壤</v>
          </cell>
          <cell r="I2308" t="str">
            <v>425/305</v>
          </cell>
          <cell r="J2308" t="str">
            <v>17.19</v>
          </cell>
          <cell r="K2308" t="str">
            <v>65.21</v>
          </cell>
          <cell r="L2308" t="str">
            <v>合格</v>
          </cell>
          <cell r="M2308" t="str">
            <v>王建敏/朱绪涛</v>
          </cell>
          <cell r="N2308" t="str">
            <v>181126-2-67</v>
          </cell>
        </row>
        <row r="2309">
          <cell r="E2309" t="str">
            <v>HFMET181122A2352-60-79</v>
          </cell>
          <cell r="F2309" t="str">
            <v>Meta 50，F06</v>
          </cell>
          <cell r="G2309">
            <v>20</v>
          </cell>
          <cell r="H2309" t="str">
            <v>土壤</v>
          </cell>
          <cell r="I2309" t="str">
            <v>403/444</v>
          </cell>
          <cell r="J2309" t="str">
            <v>2.03</v>
          </cell>
          <cell r="K2309" t="str">
            <v>7.72</v>
          </cell>
          <cell r="L2309" t="str">
            <v>合格</v>
          </cell>
          <cell r="M2309" t="str">
            <v>王建敏/朱绪涛</v>
          </cell>
          <cell r="N2309" t="str">
            <v>181126-2-68</v>
          </cell>
        </row>
        <row r="2310">
          <cell r="E2310" t="str">
            <v>HFMET181122A2353-61-79</v>
          </cell>
          <cell r="F2310" t="str">
            <v>Meta 50，F07</v>
          </cell>
          <cell r="G2310">
            <v>20</v>
          </cell>
          <cell r="H2310" t="str">
            <v>土壤</v>
          </cell>
          <cell r="I2310" t="str">
            <v>428/401/305</v>
          </cell>
          <cell r="J2310" t="str">
            <v>12.84</v>
          </cell>
          <cell r="K2310" t="str">
            <v>48.66</v>
          </cell>
          <cell r="L2310" t="str">
            <v>合格</v>
          </cell>
          <cell r="M2310" t="str">
            <v>王建敏/朱绪涛</v>
          </cell>
          <cell r="N2310" t="str">
            <v>181126-2-69</v>
          </cell>
        </row>
        <row r="2311">
          <cell r="E2311" t="str">
            <v>HFMET181122A2354-62-79</v>
          </cell>
          <cell r="F2311" t="str">
            <v>Meta 50，F08</v>
          </cell>
          <cell r="G2311">
            <v>20</v>
          </cell>
          <cell r="H2311" t="str">
            <v>土壤</v>
          </cell>
          <cell r="I2311" t="str">
            <v>424/385/343</v>
          </cell>
          <cell r="J2311" t="str">
            <v>18.24</v>
          </cell>
          <cell r="K2311" t="str">
            <v>67.86</v>
          </cell>
          <cell r="L2311" t="str">
            <v>合格</v>
          </cell>
          <cell r="M2311" t="str">
            <v>王建敏/朱绪涛</v>
          </cell>
          <cell r="N2311" t="str">
            <v>181126-2-70</v>
          </cell>
        </row>
        <row r="2312">
          <cell r="E2312" t="str">
            <v>HFMET181122A2355-63-79</v>
          </cell>
          <cell r="F2312" t="str">
            <v>Meta 50，F09</v>
          </cell>
          <cell r="G2312">
            <v>20</v>
          </cell>
          <cell r="H2312" t="str">
            <v>土壤</v>
          </cell>
          <cell r="I2312" t="str">
            <v>438/401/384</v>
          </cell>
          <cell r="J2312" t="str">
            <v>9.86</v>
          </cell>
          <cell r="K2312" t="str">
            <v>37.59</v>
          </cell>
          <cell r="L2312" t="str">
            <v>合格</v>
          </cell>
          <cell r="M2312" t="str">
            <v>王建敏/朱绪涛</v>
          </cell>
          <cell r="N2312" t="str">
            <v>181126-2-71</v>
          </cell>
        </row>
        <row r="2313">
          <cell r="E2313" t="str">
            <v>HFMET181122A2356-64-79</v>
          </cell>
          <cell r="F2313" t="str">
            <v>Meta 50，F10</v>
          </cell>
          <cell r="G2313">
            <v>20</v>
          </cell>
          <cell r="H2313" t="str">
            <v>土壤</v>
          </cell>
          <cell r="I2313" t="str">
            <v>427/385/340</v>
          </cell>
          <cell r="J2313" t="str">
            <v>18.68</v>
          </cell>
          <cell r="K2313" t="str">
            <v>70.10</v>
          </cell>
          <cell r="L2313" t="str">
            <v>合格</v>
          </cell>
          <cell r="M2313" t="str">
            <v>王建敏/朱绪涛</v>
          </cell>
          <cell r="N2313" t="str">
            <v>181126-2-72</v>
          </cell>
        </row>
        <row r="2314">
          <cell r="E2314" t="str">
            <v>HFMET181122A2357-65-79</v>
          </cell>
          <cell r="F2314" t="str">
            <v>Meta 50，F11</v>
          </cell>
          <cell r="G2314">
            <v>20</v>
          </cell>
          <cell r="H2314" t="str">
            <v>土壤</v>
          </cell>
          <cell r="I2314" t="str">
            <v>444/386/307</v>
          </cell>
          <cell r="J2314" t="str">
            <v>4.87</v>
          </cell>
          <cell r="K2314" t="str">
            <v>18.35</v>
          </cell>
          <cell r="L2314" t="str">
            <v>合格</v>
          </cell>
          <cell r="M2314" t="str">
            <v>王建敏/朱绪涛</v>
          </cell>
          <cell r="N2314" t="str">
            <v>181126-2-73</v>
          </cell>
        </row>
        <row r="2315">
          <cell r="E2315" t="str">
            <v>HFMET181122A2358-66-79</v>
          </cell>
          <cell r="F2315" t="str">
            <v>Meta 50，F12</v>
          </cell>
          <cell r="G2315">
            <v>20</v>
          </cell>
          <cell r="H2315" t="str">
            <v>土壤</v>
          </cell>
          <cell r="I2315" t="str">
            <v>449/387/309</v>
          </cell>
          <cell r="J2315" t="str">
            <v>3.72</v>
          </cell>
          <cell r="K2315" t="str">
            <v>14.00</v>
          </cell>
          <cell r="L2315" t="str">
            <v>合格</v>
          </cell>
          <cell r="M2315" t="str">
            <v>王建敏/朱绪涛</v>
          </cell>
          <cell r="N2315" t="str">
            <v>181126-2-74</v>
          </cell>
        </row>
        <row r="2316">
          <cell r="E2316" t="str">
            <v>HFMET181122A2359-59-80</v>
          </cell>
          <cell r="F2316" t="str">
            <v>Meta 50，G01</v>
          </cell>
          <cell r="G2316">
            <v>20</v>
          </cell>
          <cell r="H2316" t="str">
            <v>土壤</v>
          </cell>
          <cell r="I2316" t="str">
            <v>443/381/304</v>
          </cell>
          <cell r="J2316" t="str">
            <v>5.24</v>
          </cell>
          <cell r="K2316" t="str">
            <v>20.99</v>
          </cell>
          <cell r="L2316" t="str">
            <v>合格</v>
          </cell>
          <cell r="M2316" t="str">
            <v>王建敏/朱绪涛</v>
          </cell>
          <cell r="N2316" t="str">
            <v>181126-2-75</v>
          </cell>
        </row>
        <row r="2317">
          <cell r="E2317" t="str">
            <v>HFMET181122A2360-60-80</v>
          </cell>
          <cell r="F2317" t="str">
            <v>Meta 50，G02</v>
          </cell>
          <cell r="G2317">
            <v>20</v>
          </cell>
          <cell r="H2317" t="str">
            <v>土壤</v>
          </cell>
          <cell r="I2317" t="str">
            <v>425/309</v>
          </cell>
          <cell r="J2317" t="str">
            <v>21.82</v>
          </cell>
          <cell r="K2317" t="str">
            <v>83.36</v>
          </cell>
          <cell r="L2317" t="str">
            <v>合格</v>
          </cell>
          <cell r="M2317" t="str">
            <v>王建敏/朱绪涛</v>
          </cell>
          <cell r="N2317" t="str">
            <v>181126-2-76</v>
          </cell>
        </row>
        <row r="2318">
          <cell r="E2318" t="str">
            <v>HFMET181122A2361-61-80</v>
          </cell>
          <cell r="F2318" t="str">
            <v>Meta 50，G03</v>
          </cell>
          <cell r="G2318">
            <v>20</v>
          </cell>
          <cell r="H2318" t="str">
            <v>土壤</v>
          </cell>
          <cell r="I2318" t="str">
            <v>427/308</v>
          </cell>
          <cell r="J2318" t="str">
            <v>20.92</v>
          </cell>
          <cell r="K2318" t="str">
            <v>81.33</v>
          </cell>
          <cell r="L2318" t="str">
            <v>合格</v>
          </cell>
          <cell r="M2318" t="str">
            <v>王建敏/朱绪涛</v>
          </cell>
          <cell r="N2318" t="str">
            <v>181126-2-77</v>
          </cell>
        </row>
        <row r="2319">
          <cell r="E2319" t="str">
            <v>HFMET181122A2362-62-80</v>
          </cell>
          <cell r="F2319" t="str">
            <v>Meta 50，G04</v>
          </cell>
          <cell r="G2319">
            <v>20</v>
          </cell>
          <cell r="H2319" t="str">
            <v>土壤</v>
          </cell>
          <cell r="I2319" t="str">
            <v>438/310/400</v>
          </cell>
          <cell r="J2319" t="str">
            <v>10.44</v>
          </cell>
          <cell r="K2319" t="str">
            <v>39.82</v>
          </cell>
          <cell r="L2319" t="str">
            <v>合格</v>
          </cell>
          <cell r="M2319" t="str">
            <v>王建敏/朱绪涛</v>
          </cell>
          <cell r="N2319" t="str">
            <v>181126-2-78</v>
          </cell>
        </row>
        <row r="2320">
          <cell r="E2320" t="str">
            <v>HFMET181122A2363-63-80</v>
          </cell>
          <cell r="F2320" t="str">
            <v>Meta 50，G05</v>
          </cell>
          <cell r="G2320">
            <v>20</v>
          </cell>
          <cell r="H2320" t="str">
            <v>土壤</v>
          </cell>
          <cell r="I2320" t="str">
            <v>433/383/314</v>
          </cell>
          <cell r="J2320" t="str">
            <v>25.40</v>
          </cell>
          <cell r="K2320" t="str">
            <v>99.56</v>
          </cell>
          <cell r="L2320" t="str">
            <v>合格</v>
          </cell>
          <cell r="M2320" t="str">
            <v>王建敏/朱绪涛</v>
          </cell>
          <cell r="N2320" t="str">
            <v>181126-2-79</v>
          </cell>
        </row>
        <row r="2321">
          <cell r="E2321" t="str">
            <v>HFMET181122A2364-64-80</v>
          </cell>
          <cell r="F2321" t="str">
            <v>Meta 50，G06</v>
          </cell>
          <cell r="G2321">
            <v>20</v>
          </cell>
          <cell r="H2321" t="str">
            <v>土壤</v>
          </cell>
          <cell r="I2321" t="str">
            <v>375/389/433</v>
          </cell>
          <cell r="J2321" t="str">
            <v>25.58</v>
          </cell>
          <cell r="K2321" t="str">
            <v>101.77</v>
          </cell>
          <cell r="L2321" t="str">
            <v>合格</v>
          </cell>
          <cell r="M2321" t="str">
            <v>王建敏/朱绪涛</v>
          </cell>
          <cell r="N2321" t="str">
            <v>181126-2-80</v>
          </cell>
        </row>
        <row r="2322">
          <cell r="E2322" t="str">
            <v>HFMET181122A2365-65-80</v>
          </cell>
          <cell r="F2322" t="str">
            <v>Meta 50，G07</v>
          </cell>
          <cell r="G2322">
            <v>20</v>
          </cell>
          <cell r="H2322" t="str">
            <v>土壤</v>
          </cell>
          <cell r="I2322" t="str">
            <v>440/404/311</v>
          </cell>
          <cell r="J2322" t="str">
            <v>14.05</v>
          </cell>
          <cell r="K2322" t="str">
            <v>54.73</v>
          </cell>
          <cell r="L2322" t="str">
            <v>合格</v>
          </cell>
          <cell r="M2322" t="str">
            <v>王建敏/朱绪涛</v>
          </cell>
          <cell r="N2322" t="str">
            <v>181126-2-81</v>
          </cell>
        </row>
        <row r="2323">
          <cell r="E2323" t="str">
            <v>HFMET181122A2366-66-80</v>
          </cell>
          <cell r="F2323" t="str">
            <v>Meta 50，G08</v>
          </cell>
          <cell r="G2323">
            <v>20</v>
          </cell>
          <cell r="H2323" t="str">
            <v>土壤</v>
          </cell>
          <cell r="I2323">
            <v>374</v>
          </cell>
          <cell r="J2323" t="str">
            <v>31.08</v>
          </cell>
          <cell r="K2323" t="str">
            <v>124.56</v>
          </cell>
          <cell r="L2323" t="str">
            <v>合格</v>
          </cell>
          <cell r="M2323" t="str">
            <v>王建敏/朱绪涛</v>
          </cell>
          <cell r="N2323" t="str">
            <v>181126-2-82</v>
          </cell>
        </row>
        <row r="2324">
          <cell r="E2324" t="str">
            <v>HFMET181122A2367-59-81</v>
          </cell>
          <cell r="F2324" t="str">
            <v>Meta 50，G09</v>
          </cell>
          <cell r="G2324">
            <v>20</v>
          </cell>
          <cell r="H2324" t="str">
            <v>土壤</v>
          </cell>
          <cell r="I2324">
            <v>374</v>
          </cell>
          <cell r="J2324" t="str">
            <v>30.62</v>
          </cell>
          <cell r="K2324" t="str">
            <v>123.85</v>
          </cell>
          <cell r="L2324" t="str">
            <v>合格</v>
          </cell>
          <cell r="M2324" t="str">
            <v>王建敏/朱绪涛</v>
          </cell>
          <cell r="N2324" t="str">
            <v>181126-2-83</v>
          </cell>
        </row>
        <row r="2325">
          <cell r="E2325" t="str">
            <v>HFMET181126A2646-60-81</v>
          </cell>
          <cell r="F2325" t="str">
            <v>Meta 53，H02</v>
          </cell>
          <cell r="G2325">
            <v>20</v>
          </cell>
          <cell r="H2325" t="str">
            <v>土壤</v>
          </cell>
          <cell r="I2325" t="str">
            <v>359/394</v>
          </cell>
          <cell r="J2325" t="str">
            <v>1.25</v>
          </cell>
          <cell r="K2325" t="str">
            <v>5.22</v>
          </cell>
          <cell r="L2325" t="str">
            <v>合格</v>
          </cell>
          <cell r="M2325" t="str">
            <v>王建敏/朱绪涛</v>
          </cell>
          <cell r="N2325" t="str">
            <v>181126-2-84</v>
          </cell>
        </row>
        <row r="2326">
          <cell r="E2326" t="str">
            <v>HFMET181126A2647-61-81</v>
          </cell>
          <cell r="F2326" t="str">
            <v>Meta 53，H03</v>
          </cell>
          <cell r="G2326">
            <v>20</v>
          </cell>
          <cell r="H2326" t="str">
            <v>土壤</v>
          </cell>
          <cell r="I2326" t="str">
            <v>无</v>
          </cell>
          <cell r="J2326" t="str">
            <v>0.17</v>
          </cell>
          <cell r="K2326" t="str">
            <v>0.69</v>
          </cell>
          <cell r="L2326" t="str">
            <v>不合格</v>
          </cell>
          <cell r="M2326" t="str">
            <v>王建敏/朱绪涛</v>
          </cell>
          <cell r="N2326" t="str">
            <v>181126-2-85</v>
          </cell>
        </row>
        <row r="2327">
          <cell r="E2327" t="str">
            <v>HFMET181126A2648-62-81</v>
          </cell>
          <cell r="F2327" t="str">
            <v>Meta 53，H04</v>
          </cell>
          <cell r="G2327">
            <v>20</v>
          </cell>
          <cell r="H2327" t="str">
            <v>土壤</v>
          </cell>
          <cell r="I2327">
            <v>327</v>
          </cell>
          <cell r="J2327" t="str">
            <v>0.55</v>
          </cell>
          <cell r="K2327" t="str">
            <v>2.36</v>
          </cell>
          <cell r="L2327" t="str">
            <v>不合格</v>
          </cell>
          <cell r="M2327" t="str">
            <v>王建敏/朱绪涛</v>
          </cell>
          <cell r="N2327" t="str">
            <v>181126-2-86</v>
          </cell>
        </row>
        <row r="2328">
          <cell r="E2328" t="str">
            <v>HFMET181126A2649-63-81</v>
          </cell>
          <cell r="F2328" t="str">
            <v>Meta 53，H05</v>
          </cell>
          <cell r="G2328">
            <v>20</v>
          </cell>
          <cell r="H2328" t="str">
            <v>土壤</v>
          </cell>
          <cell r="I2328" t="str">
            <v>343/366</v>
          </cell>
          <cell r="J2328" t="str">
            <v>1.71</v>
          </cell>
          <cell r="K2328" t="str">
            <v>7.34</v>
          </cell>
          <cell r="L2328" t="str">
            <v>合格</v>
          </cell>
          <cell r="M2328" t="str">
            <v>王建敏/朱绪涛</v>
          </cell>
          <cell r="N2328" t="str">
            <v>181126-2-87</v>
          </cell>
        </row>
        <row r="2329">
          <cell r="E2329" t="str">
            <v>HFMET181126A2650-64-81</v>
          </cell>
          <cell r="F2329" t="str">
            <v>Meta 53，H06</v>
          </cell>
          <cell r="G2329">
            <v>20</v>
          </cell>
          <cell r="H2329" t="str">
            <v>土壤</v>
          </cell>
          <cell r="I2329" t="str">
            <v>无</v>
          </cell>
          <cell r="J2329" t="str">
            <v>0.11</v>
          </cell>
          <cell r="K2329" t="str">
            <v>0.41</v>
          </cell>
          <cell r="L2329" t="str">
            <v>不合格</v>
          </cell>
          <cell r="M2329" t="str">
            <v>王建敏/朱绪涛</v>
          </cell>
          <cell r="N2329" t="str">
            <v>181126-2-88</v>
          </cell>
        </row>
        <row r="2330">
          <cell r="E2330" t="str">
            <v>NTC-64-81</v>
          </cell>
          <cell r="F2330" t="str">
            <v>Meta 50，G10</v>
          </cell>
          <cell r="G2330">
            <v>20</v>
          </cell>
          <cell r="H2330" t="str">
            <v>NF-H2O</v>
          </cell>
          <cell r="J2330" t="str">
            <v>0.07</v>
          </cell>
          <cell r="K2330" t="str">
            <v>0.24</v>
          </cell>
          <cell r="L2330" t="str">
            <v>合格</v>
          </cell>
          <cell r="M2330" t="str">
            <v>王建敏/朱绪涛</v>
          </cell>
          <cell r="N2330" t="str">
            <v>181126-2-89</v>
          </cell>
        </row>
        <row r="2331">
          <cell r="E2331" t="str">
            <v>HFMET181123A2478-101-116</v>
          </cell>
          <cell r="F2331" t="str">
            <v>Meta 52，A03</v>
          </cell>
          <cell r="G2331">
            <v>20</v>
          </cell>
          <cell r="H2331" t="str">
            <v>鸭肠道微生物</v>
          </cell>
          <cell r="I2331">
            <v>565</v>
          </cell>
          <cell r="J2331">
            <v>24.58</v>
          </cell>
          <cell r="K2331" t="str">
            <v>62.77</v>
          </cell>
          <cell r="L2331" t="str">
            <v>合格</v>
          </cell>
          <cell r="M2331" t="str">
            <v>王丹丹/孙家孟</v>
          </cell>
          <cell r="N2331" t="str">
            <v>181128-3-1</v>
          </cell>
        </row>
        <row r="2332">
          <cell r="E2332" t="str">
            <v>HFMET181123A2479-102-116</v>
          </cell>
          <cell r="F2332" t="str">
            <v>Meta 52，A04</v>
          </cell>
          <cell r="G2332">
            <v>20</v>
          </cell>
          <cell r="H2332" t="str">
            <v>鸭肠道微生物</v>
          </cell>
          <cell r="I2332">
            <v>564</v>
          </cell>
          <cell r="J2332">
            <v>21.68</v>
          </cell>
          <cell r="K2332">
            <v>55.61</v>
          </cell>
          <cell r="L2332" t="str">
            <v>合格</v>
          </cell>
          <cell r="M2332" t="str">
            <v>王丹丹/孙家孟</v>
          </cell>
          <cell r="N2332" t="str">
            <v>181128-3-2</v>
          </cell>
        </row>
        <row r="2333">
          <cell r="E2333" t="str">
            <v>HFMET181123A2480-103-116</v>
          </cell>
          <cell r="F2333" t="str">
            <v>Meta 52，A05</v>
          </cell>
          <cell r="G2333">
            <v>20</v>
          </cell>
          <cell r="H2333" t="str">
            <v>鸭肠道微生物</v>
          </cell>
          <cell r="I2333">
            <v>560</v>
          </cell>
          <cell r="J2333">
            <v>30.4</v>
          </cell>
          <cell r="K2333">
            <v>74.87</v>
          </cell>
          <cell r="L2333" t="str">
            <v>合格</v>
          </cell>
          <cell r="M2333" t="str">
            <v>王丹丹/孙家孟</v>
          </cell>
          <cell r="N2333" t="str">
            <v>181128-3-3</v>
          </cell>
        </row>
        <row r="2334">
          <cell r="E2334" t="str">
            <v>HFMET181123A2481-104-116</v>
          </cell>
          <cell r="F2334" t="str">
            <v>Meta 52，A06</v>
          </cell>
          <cell r="G2334">
            <v>20</v>
          </cell>
          <cell r="H2334" t="str">
            <v>鸭肠道微生物</v>
          </cell>
          <cell r="I2334">
            <v>537</v>
          </cell>
          <cell r="J2334">
            <v>37.68</v>
          </cell>
          <cell r="K2334">
            <v>97.55</v>
          </cell>
          <cell r="L2334" t="str">
            <v>合格</v>
          </cell>
          <cell r="M2334" t="str">
            <v>王丹丹/孙家孟</v>
          </cell>
          <cell r="N2334" t="str">
            <v>181128-3-4</v>
          </cell>
        </row>
        <row r="2335">
          <cell r="E2335" t="str">
            <v>HFMET181123A2482-105-116</v>
          </cell>
          <cell r="F2335" t="str">
            <v>Meta 52，A07</v>
          </cell>
          <cell r="G2335">
            <v>20</v>
          </cell>
          <cell r="H2335" t="str">
            <v>鸭肠道微生物</v>
          </cell>
          <cell r="I2335">
            <v>552</v>
          </cell>
          <cell r="J2335">
            <v>34.590000000000003</v>
          </cell>
          <cell r="K2335">
            <v>88.58</v>
          </cell>
          <cell r="L2335" t="str">
            <v>合格</v>
          </cell>
          <cell r="M2335" t="str">
            <v>王丹丹/孙家孟</v>
          </cell>
          <cell r="N2335" t="str">
            <v>181128-3-5</v>
          </cell>
        </row>
        <row r="2336">
          <cell r="E2336" t="str">
            <v>HFMET181123A2483-106-116</v>
          </cell>
          <cell r="F2336" t="str">
            <v>Meta 52，A08</v>
          </cell>
          <cell r="G2336">
            <v>20</v>
          </cell>
          <cell r="H2336" t="str">
            <v>鸭肠道微生物</v>
          </cell>
          <cell r="I2336">
            <v>527</v>
          </cell>
          <cell r="J2336">
            <v>41.06</v>
          </cell>
          <cell r="K2336">
            <v>107.59</v>
          </cell>
          <cell r="L2336" t="str">
            <v>合格</v>
          </cell>
          <cell r="M2336" t="str">
            <v>王丹丹/孙家孟</v>
          </cell>
          <cell r="N2336" t="str">
            <v>181128-3-6</v>
          </cell>
        </row>
        <row r="2337">
          <cell r="E2337" t="str">
            <v>HFMET181123A2484-107-116</v>
          </cell>
          <cell r="F2337" t="str">
            <v>Meta 52，A09</v>
          </cell>
          <cell r="G2337">
            <v>20</v>
          </cell>
          <cell r="H2337" t="str">
            <v>鸭肠道微生物</v>
          </cell>
          <cell r="I2337">
            <v>540</v>
          </cell>
          <cell r="J2337">
            <v>35.26</v>
          </cell>
          <cell r="K2337">
            <v>91.37</v>
          </cell>
          <cell r="L2337" t="str">
            <v>合格</v>
          </cell>
          <cell r="M2337" t="str">
            <v>王丹丹/孙家孟</v>
          </cell>
          <cell r="N2337" t="str">
            <v>181128-3-7</v>
          </cell>
        </row>
        <row r="2338">
          <cell r="E2338" t="str">
            <v>HFMET181123A2485-108-116</v>
          </cell>
          <cell r="F2338" t="str">
            <v>Meta 52，A10</v>
          </cell>
          <cell r="G2338">
            <v>20</v>
          </cell>
          <cell r="H2338" t="str">
            <v>鸭肠道微生物</v>
          </cell>
          <cell r="I2338">
            <v>565</v>
          </cell>
          <cell r="J2338">
            <v>28.67</v>
          </cell>
          <cell r="K2338">
            <v>72.760000000000005</v>
          </cell>
          <cell r="L2338" t="str">
            <v>合格</v>
          </cell>
          <cell r="M2338" t="str">
            <v>王丹丹/孙家孟</v>
          </cell>
          <cell r="N2338" t="str">
            <v>181128-3-8</v>
          </cell>
        </row>
        <row r="2339">
          <cell r="E2339" t="str">
            <v>HFMET181123A2486-101-117</v>
          </cell>
          <cell r="F2339" t="str">
            <v>Meta 52，A11</v>
          </cell>
          <cell r="G2339">
            <v>20</v>
          </cell>
          <cell r="H2339" t="str">
            <v>鸭肠道微生物</v>
          </cell>
          <cell r="I2339">
            <v>567</v>
          </cell>
          <cell r="J2339">
            <v>18.62</v>
          </cell>
          <cell r="K2339">
            <v>47.4</v>
          </cell>
          <cell r="L2339" t="str">
            <v>合格</v>
          </cell>
          <cell r="M2339" t="str">
            <v>王丹丹/孙家孟</v>
          </cell>
          <cell r="N2339" t="str">
            <v>181128-3-9</v>
          </cell>
        </row>
        <row r="2340">
          <cell r="E2340" t="str">
            <v>HFMET181123A2487-102-117</v>
          </cell>
          <cell r="F2340" t="str">
            <v>Meta 52，A12</v>
          </cell>
          <cell r="G2340">
            <v>20</v>
          </cell>
          <cell r="H2340" t="str">
            <v>鸭肠道微生物</v>
          </cell>
          <cell r="I2340">
            <v>658</v>
          </cell>
          <cell r="J2340">
            <v>0.09</v>
          </cell>
          <cell r="K2340">
            <v>0.22</v>
          </cell>
          <cell r="L2340" t="str">
            <v>不合格</v>
          </cell>
          <cell r="M2340" t="str">
            <v>王丹丹/孙家孟</v>
          </cell>
          <cell r="N2340" t="str">
            <v>181128-3-10</v>
          </cell>
        </row>
        <row r="2341">
          <cell r="E2341" t="str">
            <v>HFMET181123A2488-103-117</v>
          </cell>
          <cell r="F2341" t="str">
            <v>Meta 52，B01</v>
          </cell>
          <cell r="G2341">
            <v>20</v>
          </cell>
          <cell r="H2341" t="str">
            <v>鸭肠道微生物</v>
          </cell>
          <cell r="I2341">
            <v>574</v>
          </cell>
          <cell r="J2341">
            <v>37.14</v>
          </cell>
          <cell r="K2341">
            <v>90.48</v>
          </cell>
          <cell r="L2341" t="str">
            <v>合格</v>
          </cell>
          <cell r="M2341" t="str">
            <v>王丹丹/孙家孟</v>
          </cell>
          <cell r="N2341" t="str">
            <v>181128-3-11</v>
          </cell>
        </row>
        <row r="2342">
          <cell r="E2342" t="str">
            <v>HFMET181123A2489-104-117</v>
          </cell>
          <cell r="F2342" t="str">
            <v>Meta 52，B02</v>
          </cell>
          <cell r="G2342">
            <v>20</v>
          </cell>
          <cell r="H2342" t="str">
            <v>鸭肠道微生物</v>
          </cell>
          <cell r="I2342">
            <v>538</v>
          </cell>
          <cell r="J2342">
            <v>13.79</v>
          </cell>
          <cell r="K2342">
            <v>36.89</v>
          </cell>
          <cell r="L2342" t="str">
            <v>合格</v>
          </cell>
          <cell r="M2342" t="str">
            <v>王丹丹/孙家孟</v>
          </cell>
          <cell r="N2342" t="str">
            <v>181128-3-12</v>
          </cell>
        </row>
        <row r="2343">
          <cell r="E2343" t="str">
            <v>HFMET181123A2490-105-117</v>
          </cell>
          <cell r="F2343" t="str">
            <v>Meta 52，B03</v>
          </cell>
          <cell r="G2343">
            <v>20</v>
          </cell>
          <cell r="H2343" t="str">
            <v>鸭肠道微生物</v>
          </cell>
          <cell r="I2343">
            <v>589</v>
          </cell>
          <cell r="J2343">
            <v>32.85</v>
          </cell>
          <cell r="K2343">
            <v>78.040000000000006</v>
          </cell>
          <cell r="L2343" t="str">
            <v>合格</v>
          </cell>
          <cell r="M2343" t="str">
            <v>王丹丹/孙家孟</v>
          </cell>
          <cell r="N2343" t="str">
            <v>181128-3-13</v>
          </cell>
        </row>
        <row r="2344">
          <cell r="E2344" t="str">
            <v>HFMET181123A2491-106-117</v>
          </cell>
          <cell r="F2344" t="str">
            <v>Meta 52，B04</v>
          </cell>
          <cell r="G2344">
            <v>20</v>
          </cell>
          <cell r="H2344" t="str">
            <v>鸭肠道微生物</v>
          </cell>
          <cell r="I2344">
            <v>529</v>
          </cell>
          <cell r="J2344">
            <v>25.49</v>
          </cell>
          <cell r="K2344">
            <v>67.55</v>
          </cell>
          <cell r="L2344" t="str">
            <v>合格</v>
          </cell>
          <cell r="M2344" t="str">
            <v>王丹丹/孙家孟</v>
          </cell>
          <cell r="N2344" t="str">
            <v>181128-3-14</v>
          </cell>
        </row>
        <row r="2345">
          <cell r="E2345" t="str">
            <v>HFMET181123A2492-107-117</v>
          </cell>
          <cell r="F2345" t="str">
            <v>Meta 52，B05</v>
          </cell>
          <cell r="G2345">
            <v>20</v>
          </cell>
          <cell r="H2345" t="str">
            <v>鸭肠道微生物</v>
          </cell>
          <cell r="I2345">
            <v>529</v>
          </cell>
          <cell r="J2345">
            <v>27.4</v>
          </cell>
          <cell r="K2345">
            <v>73.45</v>
          </cell>
          <cell r="L2345" t="str">
            <v>合格</v>
          </cell>
          <cell r="M2345" t="str">
            <v>王丹丹/孙家孟</v>
          </cell>
          <cell r="N2345" t="str">
            <v>181128-3-15</v>
          </cell>
        </row>
        <row r="2346">
          <cell r="E2346" t="str">
            <v>HFMET181123A2493-108-117</v>
          </cell>
          <cell r="F2346" t="str">
            <v>Meta 52，B06</v>
          </cell>
          <cell r="G2346">
            <v>20</v>
          </cell>
          <cell r="H2346" t="str">
            <v>鸭肠道微生物</v>
          </cell>
          <cell r="I2346">
            <v>576</v>
          </cell>
          <cell r="J2346">
            <v>8.34</v>
          </cell>
          <cell r="K2346">
            <v>21.6</v>
          </cell>
          <cell r="L2346" t="str">
            <v>合格</v>
          </cell>
          <cell r="M2346" t="str">
            <v>王丹丹/孙家孟</v>
          </cell>
          <cell r="N2346" t="str">
            <v>181128-3-16</v>
          </cell>
        </row>
        <row r="2347">
          <cell r="E2347" t="str">
            <v>HFMET181123A2494-101-118</v>
          </cell>
          <cell r="F2347" t="str">
            <v>Meta 52，B07</v>
          </cell>
          <cell r="G2347">
            <v>20</v>
          </cell>
          <cell r="H2347" t="str">
            <v>鸭肠道微生物</v>
          </cell>
          <cell r="I2347">
            <v>576</v>
          </cell>
          <cell r="J2347">
            <v>11.13</v>
          </cell>
          <cell r="K2347">
            <v>28.61</v>
          </cell>
          <cell r="L2347" t="str">
            <v>合格</v>
          </cell>
          <cell r="M2347" t="str">
            <v>王丹丹/孙家孟</v>
          </cell>
          <cell r="N2347" t="str">
            <v>181128-3-17</v>
          </cell>
        </row>
        <row r="2348">
          <cell r="E2348" t="str">
            <v>HFMET181123A2495-102-118</v>
          </cell>
          <cell r="F2348" t="str">
            <v>Meta 52，B08</v>
          </cell>
          <cell r="G2348">
            <v>20</v>
          </cell>
          <cell r="H2348" t="str">
            <v>鸭肠道微生物</v>
          </cell>
          <cell r="I2348">
            <v>568</v>
          </cell>
          <cell r="J2348">
            <v>16.71</v>
          </cell>
          <cell r="K2348">
            <v>43.21</v>
          </cell>
          <cell r="L2348" t="str">
            <v>合格</v>
          </cell>
          <cell r="M2348" t="str">
            <v>王丹丹/孙家孟</v>
          </cell>
          <cell r="N2348" t="str">
            <v>181128-3-18</v>
          </cell>
        </row>
        <row r="2349">
          <cell r="E2349" t="str">
            <v>HFMET181123A2496-103-118</v>
          </cell>
          <cell r="F2349" t="str">
            <v>Meta 52，B09</v>
          </cell>
          <cell r="G2349">
            <v>20</v>
          </cell>
          <cell r="H2349" t="str">
            <v>鸭肠道微生物</v>
          </cell>
          <cell r="I2349">
            <v>554</v>
          </cell>
          <cell r="J2349">
            <v>27.15</v>
          </cell>
          <cell r="K2349">
            <v>70.040000000000006</v>
          </cell>
          <cell r="L2349" t="str">
            <v>合格</v>
          </cell>
          <cell r="M2349" t="str">
            <v>王丹丹/孙家孟</v>
          </cell>
          <cell r="N2349" t="str">
            <v>181128-3-19</v>
          </cell>
        </row>
        <row r="2350">
          <cell r="E2350" t="str">
            <v>HFMET181123A2497-104-118</v>
          </cell>
          <cell r="F2350" t="str">
            <v>Meta 52，B10</v>
          </cell>
          <cell r="G2350">
            <v>20</v>
          </cell>
          <cell r="H2350" t="str">
            <v>鸭肠道微生物</v>
          </cell>
          <cell r="I2350">
            <v>592</v>
          </cell>
          <cell r="J2350">
            <v>6.73</v>
          </cell>
          <cell r="K2350">
            <v>16.899999999999999</v>
          </cell>
          <cell r="L2350" t="str">
            <v>合格</v>
          </cell>
          <cell r="M2350" t="str">
            <v>王丹丹/孙家孟</v>
          </cell>
          <cell r="N2350" t="str">
            <v>181128-3-20</v>
          </cell>
        </row>
        <row r="2351">
          <cell r="E2351" t="str">
            <v>HFMET181123A2498-105-118</v>
          </cell>
          <cell r="F2351" t="str">
            <v>Meta 52，B11</v>
          </cell>
          <cell r="G2351">
            <v>20</v>
          </cell>
          <cell r="H2351" t="str">
            <v>鸭肠道微生物</v>
          </cell>
          <cell r="I2351">
            <v>534</v>
          </cell>
          <cell r="J2351">
            <v>30.66</v>
          </cell>
          <cell r="K2351">
            <v>79.75</v>
          </cell>
          <cell r="L2351" t="str">
            <v>合格</v>
          </cell>
          <cell r="M2351" t="str">
            <v>王丹丹/孙家孟</v>
          </cell>
          <cell r="N2351" t="str">
            <v>181128-3-21</v>
          </cell>
        </row>
        <row r="2352">
          <cell r="E2352" t="str">
            <v>HFMET181123A2499-106-118</v>
          </cell>
          <cell r="F2352" t="str">
            <v>Meta 52，B12</v>
          </cell>
          <cell r="G2352">
            <v>20</v>
          </cell>
          <cell r="H2352" t="str">
            <v>鸭肠道微生物</v>
          </cell>
          <cell r="I2352">
            <v>568</v>
          </cell>
          <cell r="J2352">
            <v>25.69</v>
          </cell>
          <cell r="K2352">
            <v>64.61</v>
          </cell>
          <cell r="L2352" t="str">
            <v>合格</v>
          </cell>
          <cell r="M2352" t="str">
            <v>王丹丹/孙家孟</v>
          </cell>
          <cell r="N2352" t="str">
            <v>181128-3-22</v>
          </cell>
        </row>
        <row r="2353">
          <cell r="E2353" t="str">
            <v>HFMET181123A2500-107-118</v>
          </cell>
          <cell r="F2353" t="str">
            <v>Meta 52，C01</v>
          </cell>
          <cell r="G2353">
            <v>20</v>
          </cell>
          <cell r="H2353" t="str">
            <v>鸭肠道微生物</v>
          </cell>
          <cell r="I2353">
            <v>556</v>
          </cell>
          <cell r="J2353">
            <v>17.670000000000002</v>
          </cell>
          <cell r="K2353">
            <v>46.31</v>
          </cell>
          <cell r="L2353" t="str">
            <v>合格</v>
          </cell>
          <cell r="M2353" t="str">
            <v>王丹丹/孙家孟</v>
          </cell>
          <cell r="N2353" t="str">
            <v>181128-3-23</v>
          </cell>
        </row>
        <row r="2354">
          <cell r="E2354" t="str">
            <v>HFMET181123A2501-108-118</v>
          </cell>
          <cell r="F2354" t="str">
            <v>Meta 52，C02</v>
          </cell>
          <cell r="G2354">
            <v>20</v>
          </cell>
          <cell r="H2354" t="str">
            <v>鸭肠道微生物</v>
          </cell>
          <cell r="I2354">
            <v>584</v>
          </cell>
          <cell r="J2354">
            <v>11.29</v>
          </cell>
          <cell r="K2354">
            <v>28.77</v>
          </cell>
          <cell r="L2354" t="str">
            <v>合格</v>
          </cell>
          <cell r="M2354" t="str">
            <v>王丹丹/孙家孟</v>
          </cell>
          <cell r="N2354" t="str">
            <v>181128-3-24</v>
          </cell>
        </row>
        <row r="2355">
          <cell r="E2355" t="str">
            <v>HFMET181123A2502-101-121</v>
          </cell>
          <cell r="F2355" t="str">
            <v>Meta 52，C03</v>
          </cell>
          <cell r="G2355">
            <v>20</v>
          </cell>
          <cell r="H2355" t="str">
            <v>鸭肠道微生物</v>
          </cell>
          <cell r="I2355">
            <v>633</v>
          </cell>
          <cell r="J2355">
            <v>1.3</v>
          </cell>
          <cell r="K2355">
            <v>3.15</v>
          </cell>
          <cell r="L2355" t="str">
            <v>合格</v>
          </cell>
          <cell r="M2355" t="str">
            <v>王丹丹/孙家孟</v>
          </cell>
          <cell r="N2355" t="str">
            <v>181128-3-25</v>
          </cell>
          <cell r="Q2355">
            <v>633</v>
          </cell>
        </row>
        <row r="2356">
          <cell r="E2356" t="str">
            <v>HFMET181123A2503-102-121</v>
          </cell>
          <cell r="F2356" t="str">
            <v>Meta 52，C04</v>
          </cell>
          <cell r="G2356">
            <v>20</v>
          </cell>
          <cell r="H2356" t="str">
            <v>鸭肠道微生物</v>
          </cell>
          <cell r="I2356">
            <v>585</v>
          </cell>
          <cell r="J2356">
            <v>10.91</v>
          </cell>
          <cell r="K2356">
            <v>27.54</v>
          </cell>
          <cell r="L2356" t="str">
            <v>合格</v>
          </cell>
          <cell r="M2356" t="str">
            <v>王丹丹/孙家孟</v>
          </cell>
          <cell r="N2356" t="str">
            <v>181128-3-26</v>
          </cell>
          <cell r="Q2356">
            <v>585</v>
          </cell>
        </row>
        <row r="2357">
          <cell r="E2357" t="str">
            <v>HFMET181123A2504-103-121</v>
          </cell>
          <cell r="F2357" t="str">
            <v>Meta 52，C05</v>
          </cell>
          <cell r="G2357">
            <v>20</v>
          </cell>
          <cell r="H2357" t="str">
            <v>鸭肠道微生物</v>
          </cell>
          <cell r="I2357">
            <v>624</v>
          </cell>
          <cell r="J2357">
            <v>0.42</v>
          </cell>
          <cell r="K2357">
            <v>0.99</v>
          </cell>
          <cell r="L2357" t="str">
            <v>不合格</v>
          </cell>
          <cell r="M2357" t="str">
            <v>王丹丹/孙家孟</v>
          </cell>
          <cell r="N2357" t="str">
            <v>181128-3-27</v>
          </cell>
          <cell r="Q2357">
            <v>624</v>
          </cell>
        </row>
        <row r="2358">
          <cell r="E2358" t="str">
            <v>HFMET181123A2505-104-121</v>
          </cell>
          <cell r="F2358" t="str">
            <v>Meta 52，C06</v>
          </cell>
          <cell r="G2358">
            <v>20</v>
          </cell>
          <cell r="H2358" t="str">
            <v>鸭肠道微生物</v>
          </cell>
          <cell r="I2358">
            <v>555</v>
          </cell>
          <cell r="J2358">
            <v>35.340000000000003</v>
          </cell>
          <cell r="K2358">
            <v>89.99</v>
          </cell>
          <cell r="L2358" t="str">
            <v>合格</v>
          </cell>
          <cell r="M2358" t="str">
            <v>王丹丹/孙家孟</v>
          </cell>
          <cell r="N2358" t="str">
            <v>181128-3-28</v>
          </cell>
          <cell r="Q2358">
            <v>555</v>
          </cell>
        </row>
        <row r="2359">
          <cell r="E2359" t="str">
            <v>HFMET181123A2506-105-121</v>
          </cell>
          <cell r="F2359" t="str">
            <v>Meta 52，C07</v>
          </cell>
          <cell r="G2359">
            <v>20</v>
          </cell>
          <cell r="H2359" t="str">
            <v>鸭肠道微生物</v>
          </cell>
          <cell r="I2359">
            <v>568</v>
          </cell>
          <cell r="J2359">
            <v>31.69</v>
          </cell>
          <cell r="K2359">
            <v>78.92</v>
          </cell>
          <cell r="L2359" t="str">
            <v>合格</v>
          </cell>
          <cell r="M2359" t="str">
            <v>王丹丹/孙家孟</v>
          </cell>
          <cell r="N2359" t="str">
            <v>181128-3-29</v>
          </cell>
          <cell r="Q2359">
            <v>568</v>
          </cell>
        </row>
        <row r="2360">
          <cell r="E2360" t="str">
            <v>HFMET181123A2507-106-121</v>
          </cell>
          <cell r="F2360" t="str">
            <v>Meta 52，C08</v>
          </cell>
          <cell r="G2360">
            <v>20</v>
          </cell>
          <cell r="H2360" t="str">
            <v>鸭肠道微生物</v>
          </cell>
          <cell r="I2360">
            <v>585</v>
          </cell>
          <cell r="J2360">
            <v>17.73</v>
          </cell>
          <cell r="K2360">
            <v>42.99</v>
          </cell>
          <cell r="L2360" t="str">
            <v>合格</v>
          </cell>
          <cell r="M2360" t="str">
            <v>王丹丹/孙家孟</v>
          </cell>
          <cell r="N2360" t="str">
            <v>181128-3-30</v>
          </cell>
          <cell r="Q2360">
            <v>585</v>
          </cell>
        </row>
        <row r="2361">
          <cell r="E2361" t="str">
            <v>HFMET181123A2508-107-121</v>
          </cell>
          <cell r="F2361" t="str">
            <v>Meta 52，C09</v>
          </cell>
          <cell r="G2361">
            <v>20</v>
          </cell>
          <cell r="H2361" t="str">
            <v>鸭肠道微生物</v>
          </cell>
          <cell r="I2361">
            <v>643</v>
          </cell>
          <cell r="J2361">
            <v>0.32</v>
          </cell>
          <cell r="K2361">
            <v>0.74</v>
          </cell>
          <cell r="L2361" t="str">
            <v>不合格</v>
          </cell>
          <cell r="M2361" t="str">
            <v>王丹丹/孙家孟</v>
          </cell>
          <cell r="N2361" t="str">
            <v>181128-3-31</v>
          </cell>
          <cell r="Q2361">
            <v>643</v>
          </cell>
        </row>
        <row r="2362">
          <cell r="E2362" t="str">
            <v>HFMET181123A2509-108-121</v>
          </cell>
          <cell r="F2362" t="str">
            <v>Meta 52，C10</v>
          </cell>
          <cell r="G2362">
            <v>20</v>
          </cell>
          <cell r="H2362" t="str">
            <v>鸭肠道微生物</v>
          </cell>
          <cell r="I2362">
            <v>554</v>
          </cell>
          <cell r="J2362">
            <v>20.149999999999999</v>
          </cell>
          <cell r="K2362">
            <v>52.15</v>
          </cell>
          <cell r="L2362" t="str">
            <v>合格</v>
          </cell>
          <cell r="M2362" t="str">
            <v>王丹丹/孙家孟</v>
          </cell>
          <cell r="N2362" t="str">
            <v>181128-3-32</v>
          </cell>
          <cell r="Q2362">
            <v>554</v>
          </cell>
        </row>
        <row r="2363">
          <cell r="E2363" t="str">
            <v>HFMET181123A2510-101-127</v>
          </cell>
          <cell r="F2363" t="str">
            <v>Meta 52，C11</v>
          </cell>
          <cell r="G2363">
            <v>20</v>
          </cell>
          <cell r="H2363" t="str">
            <v>鸭肠道微生物</v>
          </cell>
          <cell r="I2363">
            <v>616</v>
          </cell>
          <cell r="J2363">
            <v>0.9</v>
          </cell>
          <cell r="K2363">
            <v>2.2000000000000002</v>
          </cell>
          <cell r="L2363" t="str">
            <v>不合格</v>
          </cell>
          <cell r="M2363" t="str">
            <v>王丹丹/孙家孟</v>
          </cell>
          <cell r="N2363" t="str">
            <v>181128-3-33</v>
          </cell>
          <cell r="Q2363">
            <v>616</v>
          </cell>
        </row>
        <row r="2364">
          <cell r="E2364" t="str">
            <v>HFMET181123A2511-102-127</v>
          </cell>
          <cell r="F2364" t="str">
            <v>Meta 52，C12</v>
          </cell>
          <cell r="G2364">
            <v>20</v>
          </cell>
          <cell r="H2364" t="str">
            <v>鸭肠道微生物</v>
          </cell>
          <cell r="I2364">
            <v>582</v>
          </cell>
          <cell r="J2364">
            <v>18.079999999999998</v>
          </cell>
          <cell r="K2364">
            <v>45.11</v>
          </cell>
          <cell r="L2364" t="str">
            <v>合格</v>
          </cell>
          <cell r="M2364" t="str">
            <v>王丹丹/孙家孟</v>
          </cell>
          <cell r="N2364" t="str">
            <v>181128-3-34</v>
          </cell>
          <cell r="Q2364">
            <v>582</v>
          </cell>
        </row>
        <row r="2365">
          <cell r="E2365" t="str">
            <v>HFMET181123A2512-103-127</v>
          </cell>
          <cell r="F2365" t="str">
            <v>Meta 52，D01</v>
          </cell>
          <cell r="G2365">
            <v>20</v>
          </cell>
          <cell r="H2365" t="str">
            <v>鸭肠道微生物</v>
          </cell>
          <cell r="I2365">
            <v>563</v>
          </cell>
          <cell r="J2365">
            <v>13.79</v>
          </cell>
          <cell r="K2365">
            <v>35.270000000000003</v>
          </cell>
          <cell r="L2365" t="str">
            <v>合格</v>
          </cell>
          <cell r="M2365" t="str">
            <v>王丹丹/孙家孟</v>
          </cell>
          <cell r="N2365" t="str">
            <v>181128-3-35</v>
          </cell>
          <cell r="Q2365">
            <v>563</v>
          </cell>
        </row>
        <row r="2366">
          <cell r="E2366" t="str">
            <v>HFMET181123A2513-104-127</v>
          </cell>
          <cell r="F2366" t="str">
            <v>Meta 52，D02</v>
          </cell>
          <cell r="G2366">
            <v>20</v>
          </cell>
          <cell r="H2366" t="str">
            <v>鸭肠道微生物</v>
          </cell>
          <cell r="I2366">
            <v>588</v>
          </cell>
          <cell r="J2366">
            <v>17.079999999999998</v>
          </cell>
          <cell r="K2366">
            <v>40.67</v>
          </cell>
          <cell r="L2366" t="str">
            <v>合格</v>
          </cell>
          <cell r="M2366" t="str">
            <v>王丹丹/孙家孟</v>
          </cell>
          <cell r="N2366" t="str">
            <v>181128-3-36</v>
          </cell>
          <cell r="Q2366">
            <v>588</v>
          </cell>
        </row>
        <row r="2367">
          <cell r="E2367" t="str">
            <v>HFMET181123A2514-105-127</v>
          </cell>
          <cell r="F2367" t="str">
            <v>Meta 52，D03</v>
          </cell>
          <cell r="G2367">
            <v>20</v>
          </cell>
          <cell r="H2367" t="str">
            <v>鸭肠道微生物</v>
          </cell>
          <cell r="I2367">
            <v>552</v>
          </cell>
          <cell r="J2367">
            <v>16.64</v>
          </cell>
          <cell r="K2367">
            <v>43.13</v>
          </cell>
          <cell r="L2367" t="str">
            <v>合格</v>
          </cell>
          <cell r="M2367" t="str">
            <v>王丹丹/孙家孟</v>
          </cell>
          <cell r="N2367" t="str">
            <v>181128-3-37</v>
          </cell>
          <cell r="Q2367">
            <v>552</v>
          </cell>
        </row>
        <row r="2368">
          <cell r="E2368" t="str">
            <v>HFMET181123A2515-106-127</v>
          </cell>
          <cell r="F2368" t="str">
            <v>Meta 52，D04</v>
          </cell>
          <cell r="G2368">
            <v>20</v>
          </cell>
          <cell r="H2368" t="str">
            <v>鸭肠道微生物</v>
          </cell>
          <cell r="I2368">
            <v>613</v>
          </cell>
          <cell r="J2368">
            <v>0.42</v>
          </cell>
          <cell r="K2368">
            <v>1.01</v>
          </cell>
          <cell r="L2368" t="str">
            <v>不合格</v>
          </cell>
          <cell r="M2368" t="str">
            <v>王丹丹/孙家孟</v>
          </cell>
          <cell r="N2368" t="str">
            <v>181128-3-38</v>
          </cell>
          <cell r="Q2368">
            <v>613</v>
          </cell>
        </row>
        <row r="2369">
          <cell r="E2369" t="str">
            <v>HFMET181123A2516-107-127</v>
          </cell>
          <cell r="F2369" t="str">
            <v>Meta 52，D05</v>
          </cell>
          <cell r="G2369">
            <v>20</v>
          </cell>
          <cell r="H2369" t="str">
            <v>鸭肠道微生物</v>
          </cell>
          <cell r="I2369">
            <v>526</v>
          </cell>
          <cell r="J2369">
            <v>18.64</v>
          </cell>
          <cell r="K2369">
            <v>50.26</v>
          </cell>
          <cell r="L2369" t="str">
            <v>合格</v>
          </cell>
          <cell r="M2369" t="str">
            <v>王丹丹/孙家孟</v>
          </cell>
          <cell r="N2369" t="str">
            <v>181128-3-39</v>
          </cell>
          <cell r="Q2369">
            <v>526</v>
          </cell>
        </row>
        <row r="2370">
          <cell r="E2370" t="str">
            <v>HFMET181123A2517-108-127</v>
          </cell>
          <cell r="F2370" t="str">
            <v>Meta 52，D06</v>
          </cell>
          <cell r="G2370">
            <v>20</v>
          </cell>
          <cell r="H2370" t="str">
            <v>鸭肠道微生物</v>
          </cell>
          <cell r="I2370">
            <v>599</v>
          </cell>
          <cell r="J2370">
            <v>26.41</v>
          </cell>
          <cell r="K2370">
            <v>61.73</v>
          </cell>
          <cell r="L2370" t="str">
            <v>合格</v>
          </cell>
          <cell r="M2370" t="str">
            <v>王丹丹/孙家孟</v>
          </cell>
          <cell r="N2370" t="str">
            <v>181128-3-40</v>
          </cell>
          <cell r="Q2370">
            <v>599</v>
          </cell>
        </row>
        <row r="2371">
          <cell r="E2371" t="str">
            <v>HFMET181123A2518-101-128</v>
          </cell>
          <cell r="F2371" t="str">
            <v>Meta 52，D07</v>
          </cell>
          <cell r="G2371">
            <v>20</v>
          </cell>
          <cell r="H2371" t="str">
            <v>鸭肠道微生物</v>
          </cell>
          <cell r="I2371">
            <v>570</v>
          </cell>
          <cell r="J2371">
            <v>13.54</v>
          </cell>
          <cell r="K2371">
            <v>34.33</v>
          </cell>
          <cell r="L2371" t="str">
            <v>合格</v>
          </cell>
          <cell r="M2371" t="str">
            <v>王丹丹/孙家孟</v>
          </cell>
          <cell r="N2371" t="str">
            <v>181128-3-41</v>
          </cell>
          <cell r="Q2371">
            <v>570</v>
          </cell>
        </row>
        <row r="2372">
          <cell r="E2372" t="str">
            <v>HFMET181123A2519-102-128</v>
          </cell>
          <cell r="F2372" t="str">
            <v>Meta 52，D08</v>
          </cell>
          <cell r="G2372">
            <v>20</v>
          </cell>
          <cell r="H2372" t="str">
            <v>鸭肠道微生物</v>
          </cell>
          <cell r="I2372">
            <v>625</v>
          </cell>
          <cell r="J2372">
            <v>2.5099999999999998</v>
          </cell>
          <cell r="K2372">
            <v>6.1</v>
          </cell>
          <cell r="L2372" t="str">
            <v>合格</v>
          </cell>
          <cell r="M2372" t="str">
            <v>王丹丹/孙家孟</v>
          </cell>
          <cell r="N2372" t="str">
            <v>181128-3-42</v>
          </cell>
          <cell r="Q2372">
            <v>625</v>
          </cell>
        </row>
        <row r="2373">
          <cell r="E2373" t="str">
            <v>HFMET181123A2520-103-128</v>
          </cell>
          <cell r="F2373" t="str">
            <v>Meta 52，D09</v>
          </cell>
          <cell r="G2373">
            <v>20</v>
          </cell>
          <cell r="H2373" t="str">
            <v>鸭肠道微生物</v>
          </cell>
          <cell r="I2373">
            <v>561</v>
          </cell>
          <cell r="J2373">
            <v>23.1</v>
          </cell>
          <cell r="K2373">
            <v>58.43</v>
          </cell>
          <cell r="L2373" t="str">
            <v>合格</v>
          </cell>
          <cell r="M2373" t="str">
            <v>王丹丹/孙家孟</v>
          </cell>
          <cell r="N2373" t="str">
            <v>181128-3-43</v>
          </cell>
          <cell r="Q2373">
            <v>561</v>
          </cell>
        </row>
        <row r="2374">
          <cell r="E2374" t="str">
            <v>HFMET181123A2521-104-128</v>
          </cell>
          <cell r="F2374" t="str">
            <v>Meta 52，D10</v>
          </cell>
          <cell r="G2374">
            <v>20</v>
          </cell>
          <cell r="H2374" t="str">
            <v>鸭肠道微生物</v>
          </cell>
          <cell r="I2374">
            <v>558</v>
          </cell>
          <cell r="J2374">
            <v>17.64</v>
          </cell>
          <cell r="K2374">
            <v>45.01</v>
          </cell>
          <cell r="L2374" t="str">
            <v>合格</v>
          </cell>
          <cell r="M2374" t="str">
            <v>王丹丹/孙家孟</v>
          </cell>
          <cell r="N2374" t="str">
            <v>181128-3-44</v>
          </cell>
          <cell r="Q2374">
            <v>558</v>
          </cell>
        </row>
        <row r="2375">
          <cell r="E2375" t="str">
            <v>HFMET181123A2522-105-128</v>
          </cell>
          <cell r="F2375" t="str">
            <v>Meta 52，D11</v>
          </cell>
          <cell r="G2375">
            <v>20</v>
          </cell>
          <cell r="H2375" t="str">
            <v>鸭肠道微生物</v>
          </cell>
          <cell r="I2375">
            <v>572</v>
          </cell>
          <cell r="J2375">
            <v>13.01</v>
          </cell>
          <cell r="K2375">
            <v>32.840000000000003</v>
          </cell>
          <cell r="L2375" t="str">
            <v>合格</v>
          </cell>
          <cell r="M2375" t="str">
            <v>王丹丹/孙家孟</v>
          </cell>
          <cell r="N2375" t="str">
            <v>181128-3-45</v>
          </cell>
          <cell r="Q2375">
            <v>572</v>
          </cell>
        </row>
        <row r="2376">
          <cell r="E2376" t="str">
            <v>HFMET181123A2523-106-128</v>
          </cell>
          <cell r="F2376" t="str">
            <v>Meta 52，D12</v>
          </cell>
          <cell r="G2376">
            <v>20</v>
          </cell>
          <cell r="H2376" t="str">
            <v>鸭肠道微生物</v>
          </cell>
          <cell r="I2376">
            <v>635</v>
          </cell>
          <cell r="J2376">
            <v>1.62</v>
          </cell>
          <cell r="K2376">
            <v>3.84</v>
          </cell>
          <cell r="L2376" t="str">
            <v>合格</v>
          </cell>
          <cell r="M2376" t="str">
            <v>王丹丹/孙家孟</v>
          </cell>
          <cell r="N2376" t="str">
            <v>181128-3-46</v>
          </cell>
          <cell r="Q2376">
            <v>635</v>
          </cell>
        </row>
        <row r="2377">
          <cell r="E2377" t="str">
            <v>HFMET181123A2524-107-128</v>
          </cell>
          <cell r="F2377" t="str">
            <v>Meta 52，E01</v>
          </cell>
          <cell r="G2377">
            <v>20</v>
          </cell>
          <cell r="H2377" t="str">
            <v>鸭肠道微生物</v>
          </cell>
          <cell r="I2377">
            <v>541</v>
          </cell>
          <cell r="J2377">
            <v>29.2</v>
          </cell>
          <cell r="K2377">
            <v>76.400000000000006</v>
          </cell>
          <cell r="L2377" t="str">
            <v>合格</v>
          </cell>
          <cell r="M2377" t="str">
            <v>王丹丹/孙家孟</v>
          </cell>
          <cell r="N2377" t="str">
            <v>181128-3-47</v>
          </cell>
          <cell r="Q2377">
            <v>541</v>
          </cell>
        </row>
        <row r="2378">
          <cell r="E2378" t="str">
            <v>HFMET181123A2525-108-128</v>
          </cell>
          <cell r="F2378" t="str">
            <v>Meta 52，E02</v>
          </cell>
          <cell r="G2378">
            <v>20</v>
          </cell>
          <cell r="H2378" t="str">
            <v>鸭肠道微生物</v>
          </cell>
          <cell r="I2378">
            <v>588</v>
          </cell>
          <cell r="J2378">
            <v>6.94</v>
          </cell>
          <cell r="K2378">
            <v>17.53</v>
          </cell>
          <cell r="L2378" t="str">
            <v>合格</v>
          </cell>
          <cell r="M2378" t="str">
            <v>王丹丹/孙家孟</v>
          </cell>
          <cell r="N2378" t="str">
            <v>181128-3-48</v>
          </cell>
          <cell r="Q2378">
            <v>588</v>
          </cell>
        </row>
        <row r="2379">
          <cell r="E2379" t="str">
            <v>HFMET181123A2526-101-129</v>
          </cell>
          <cell r="F2379" t="str">
            <v>Meta 52，E03</v>
          </cell>
          <cell r="G2379">
            <v>20</v>
          </cell>
          <cell r="H2379" t="str">
            <v>鸭肠道微生物</v>
          </cell>
          <cell r="I2379">
            <v>568</v>
          </cell>
          <cell r="J2379">
            <v>15.07</v>
          </cell>
          <cell r="K2379">
            <v>38.520000000000003</v>
          </cell>
          <cell r="L2379" t="str">
            <v>合格</v>
          </cell>
          <cell r="M2379" t="str">
            <v>王丹丹/孙家孟</v>
          </cell>
          <cell r="N2379" t="str">
            <v>181128-3-49</v>
          </cell>
          <cell r="Q2379">
            <v>568</v>
          </cell>
        </row>
        <row r="2380">
          <cell r="E2380" t="str">
            <v>HFMET181123A2527-102-129</v>
          </cell>
          <cell r="F2380" t="str">
            <v>Meta 52，E04</v>
          </cell>
          <cell r="G2380">
            <v>20</v>
          </cell>
          <cell r="H2380" t="str">
            <v>鸭肠道微生物</v>
          </cell>
          <cell r="I2380">
            <v>613</v>
          </cell>
          <cell r="J2380">
            <v>4.33</v>
          </cell>
          <cell r="K2380">
            <v>10.71</v>
          </cell>
          <cell r="L2380" t="str">
            <v>合格</v>
          </cell>
          <cell r="M2380" t="str">
            <v>王丹丹/孙家孟</v>
          </cell>
          <cell r="N2380" t="str">
            <v>181128-3-50</v>
          </cell>
          <cell r="Q2380">
            <v>613</v>
          </cell>
        </row>
        <row r="2381">
          <cell r="E2381" t="str">
            <v>HFMET181123A2528-103-129</v>
          </cell>
          <cell r="F2381" t="str">
            <v>Meta 52，E05</v>
          </cell>
          <cell r="G2381">
            <v>20</v>
          </cell>
          <cell r="H2381" t="str">
            <v>鸭肠道微生物</v>
          </cell>
          <cell r="I2381">
            <v>559</v>
          </cell>
          <cell r="J2381">
            <v>19.86</v>
          </cell>
          <cell r="K2381">
            <v>50.41</v>
          </cell>
          <cell r="L2381" t="str">
            <v>合格</v>
          </cell>
          <cell r="M2381" t="str">
            <v>王丹丹/孙家孟</v>
          </cell>
          <cell r="N2381" t="str">
            <v>181128-3-51</v>
          </cell>
          <cell r="Q2381">
            <v>559</v>
          </cell>
        </row>
        <row r="2382">
          <cell r="E2382" t="str">
            <v>HFMET181123A2529-104-129</v>
          </cell>
          <cell r="F2382" t="str">
            <v>Meta 52，E06</v>
          </cell>
          <cell r="G2382">
            <v>20</v>
          </cell>
          <cell r="H2382" t="str">
            <v>鸭肠道微生物</v>
          </cell>
          <cell r="I2382">
            <v>614</v>
          </cell>
          <cell r="J2382">
            <v>1.54</v>
          </cell>
          <cell r="K2382">
            <v>3.77</v>
          </cell>
          <cell r="L2382" t="str">
            <v>合格</v>
          </cell>
          <cell r="M2382" t="str">
            <v>王丹丹/孙家孟</v>
          </cell>
          <cell r="N2382" t="str">
            <v>181128-3-52</v>
          </cell>
          <cell r="Q2382">
            <v>614</v>
          </cell>
        </row>
        <row r="2383">
          <cell r="E2383" t="str">
            <v>HFMET181123A2530-105-129</v>
          </cell>
          <cell r="F2383" t="str">
            <v>Meta 52，E07</v>
          </cell>
          <cell r="G2383">
            <v>20</v>
          </cell>
          <cell r="H2383" t="str">
            <v>鸭肠道微生物</v>
          </cell>
          <cell r="I2383">
            <v>624</v>
          </cell>
          <cell r="J2383">
            <v>1.02</v>
          </cell>
          <cell r="K2383">
            <v>2.4500000000000002</v>
          </cell>
          <cell r="L2383" t="str">
            <v>合格</v>
          </cell>
          <cell r="M2383" t="str">
            <v>王丹丹/孙家孟</v>
          </cell>
          <cell r="N2383" t="str">
            <v>181128-3-53</v>
          </cell>
          <cell r="Q2383">
            <v>624</v>
          </cell>
        </row>
        <row r="2384">
          <cell r="E2384" t="str">
            <v>HFMET181123A2531-106-129</v>
          </cell>
          <cell r="F2384" t="str">
            <v>Meta 52，E08</v>
          </cell>
          <cell r="G2384">
            <v>20</v>
          </cell>
          <cell r="H2384" t="str">
            <v>鸭肠道微生物</v>
          </cell>
          <cell r="I2384">
            <v>553</v>
          </cell>
          <cell r="J2384">
            <v>15.5</v>
          </cell>
          <cell r="K2384">
            <v>40.229999999999997</v>
          </cell>
          <cell r="L2384" t="str">
            <v>合格</v>
          </cell>
          <cell r="M2384" t="str">
            <v>王丹丹/孙家孟</v>
          </cell>
          <cell r="N2384" t="str">
            <v>181128-3-54</v>
          </cell>
          <cell r="Q2384">
            <v>553</v>
          </cell>
        </row>
        <row r="2385">
          <cell r="E2385" t="str">
            <v>HFMET181123A2532-107-129</v>
          </cell>
          <cell r="F2385" t="str">
            <v>Meta 52，E09</v>
          </cell>
          <cell r="G2385">
            <v>20</v>
          </cell>
          <cell r="H2385" t="str">
            <v>鸭肠道微生物</v>
          </cell>
          <cell r="I2385">
            <v>563</v>
          </cell>
          <cell r="J2385">
            <v>22.8</v>
          </cell>
          <cell r="K2385">
            <v>56.68</v>
          </cell>
          <cell r="L2385" t="str">
            <v>合格</v>
          </cell>
          <cell r="M2385" t="str">
            <v>王丹丹/孙家孟</v>
          </cell>
          <cell r="N2385" t="str">
            <v>181128-3-55</v>
          </cell>
          <cell r="Q2385">
            <v>563</v>
          </cell>
        </row>
        <row r="2386">
          <cell r="E2386" t="str">
            <v>HFMET181123A2533-108-129</v>
          </cell>
          <cell r="F2386" t="str">
            <v>Meta 52，E10</v>
          </cell>
          <cell r="G2386">
            <v>20</v>
          </cell>
          <cell r="H2386" t="str">
            <v>鸭肠道微生物</v>
          </cell>
          <cell r="I2386">
            <v>613</v>
          </cell>
          <cell r="J2386">
            <v>1.63</v>
          </cell>
          <cell r="K2386">
            <v>4.01</v>
          </cell>
          <cell r="L2386" t="str">
            <v>合格</v>
          </cell>
          <cell r="M2386" t="str">
            <v>王丹丹/孙家孟</v>
          </cell>
          <cell r="N2386" t="str">
            <v>181128-3-56</v>
          </cell>
          <cell r="Q2386">
            <v>613</v>
          </cell>
        </row>
        <row r="2387">
          <cell r="E2387" t="str">
            <v>HFMET181123A2534-101-134</v>
          </cell>
          <cell r="F2387" t="str">
            <v>Meta 52，E11</v>
          </cell>
          <cell r="G2387">
            <v>20</v>
          </cell>
          <cell r="H2387" t="str">
            <v>鸭肠道微生物</v>
          </cell>
          <cell r="I2387">
            <v>559</v>
          </cell>
          <cell r="J2387">
            <v>10.81</v>
          </cell>
          <cell r="K2387">
            <v>28.56</v>
          </cell>
          <cell r="L2387" t="str">
            <v>合格</v>
          </cell>
          <cell r="M2387" t="str">
            <v>王丹丹/孙家孟</v>
          </cell>
          <cell r="N2387" t="str">
            <v>181128-3-57</v>
          </cell>
          <cell r="Q2387">
            <v>559</v>
          </cell>
        </row>
        <row r="2388">
          <cell r="E2388" t="str">
            <v>HFMET181123A2535-102-134</v>
          </cell>
          <cell r="F2388" t="str">
            <v>Meta 52，E12</v>
          </cell>
          <cell r="G2388">
            <v>20</v>
          </cell>
          <cell r="H2388" t="str">
            <v>鸭肠道微生物</v>
          </cell>
          <cell r="I2388">
            <v>572</v>
          </cell>
          <cell r="J2388">
            <v>13.89</v>
          </cell>
          <cell r="K2388">
            <v>35.74</v>
          </cell>
          <cell r="L2388" t="str">
            <v>合格</v>
          </cell>
          <cell r="M2388" t="str">
            <v>王丹丹/孙家孟</v>
          </cell>
          <cell r="N2388" t="str">
            <v>181128-3-58</v>
          </cell>
          <cell r="Q2388">
            <v>572</v>
          </cell>
        </row>
        <row r="2389">
          <cell r="E2389" t="str">
            <v>HFMET181123A2536-103-134</v>
          </cell>
          <cell r="F2389" t="str">
            <v>Meta 52，F01</v>
          </cell>
          <cell r="G2389">
            <v>20</v>
          </cell>
          <cell r="H2389" t="str">
            <v>鸭肠道微生物</v>
          </cell>
          <cell r="I2389">
            <v>622</v>
          </cell>
          <cell r="J2389">
            <v>2.93</v>
          </cell>
          <cell r="K2389">
            <v>7.06</v>
          </cell>
          <cell r="L2389" t="str">
            <v>合格</v>
          </cell>
          <cell r="M2389" t="str">
            <v>王丹丹/孙家孟</v>
          </cell>
          <cell r="N2389" t="str">
            <v>181128-3-59</v>
          </cell>
          <cell r="Q2389">
            <v>622</v>
          </cell>
        </row>
        <row r="2390">
          <cell r="E2390" t="str">
            <v>HFMET181123A2537-104-134</v>
          </cell>
          <cell r="F2390" t="str">
            <v>Meta 52，F02</v>
          </cell>
          <cell r="G2390">
            <v>20</v>
          </cell>
          <cell r="H2390" t="str">
            <v>鸭肠道微生物</v>
          </cell>
          <cell r="I2390">
            <v>569</v>
          </cell>
          <cell r="J2390">
            <v>22.21</v>
          </cell>
          <cell r="K2390">
            <v>54.97</v>
          </cell>
          <cell r="L2390" t="str">
            <v>合格</v>
          </cell>
          <cell r="M2390" t="str">
            <v>王丹丹/孙家孟</v>
          </cell>
          <cell r="N2390" t="str">
            <v>181128-3-60</v>
          </cell>
          <cell r="Q2390">
            <v>569</v>
          </cell>
        </row>
        <row r="2391">
          <cell r="E2391" t="str">
            <v>HFMET181123A2538-105-134</v>
          </cell>
          <cell r="F2391" t="str">
            <v xml:space="preserve"> </v>
          </cell>
          <cell r="G2391">
            <v>20</v>
          </cell>
          <cell r="H2391" t="str">
            <v>鸭肠道微生物</v>
          </cell>
          <cell r="I2391">
            <v>546</v>
          </cell>
          <cell r="J2391">
            <v>12.58</v>
          </cell>
          <cell r="K2391">
            <v>33.39</v>
          </cell>
          <cell r="L2391" t="str">
            <v>合格</v>
          </cell>
          <cell r="M2391" t="str">
            <v>王丹丹/孙家孟</v>
          </cell>
          <cell r="N2391" t="str">
            <v>181128-3-61</v>
          </cell>
          <cell r="Q2391">
            <v>546</v>
          </cell>
        </row>
        <row r="2392">
          <cell r="E2392" t="str">
            <v>HFMET181123A2539-106-134</v>
          </cell>
          <cell r="F2392" t="str">
            <v>Meta 52，F04</v>
          </cell>
          <cell r="G2392">
            <v>20</v>
          </cell>
          <cell r="H2392" t="str">
            <v>鸭肠道微生物</v>
          </cell>
          <cell r="I2392">
            <v>640</v>
          </cell>
          <cell r="J2392">
            <v>0.51</v>
          </cell>
          <cell r="K2392">
            <v>1.21</v>
          </cell>
          <cell r="L2392" t="str">
            <v>不合格</v>
          </cell>
          <cell r="M2392" t="str">
            <v>王丹丹/孙家孟</v>
          </cell>
          <cell r="N2392" t="str">
            <v>181128-3-62</v>
          </cell>
          <cell r="Q2392">
            <v>640</v>
          </cell>
        </row>
        <row r="2393">
          <cell r="E2393" t="str">
            <v>HFMET181123A2540-107-134</v>
          </cell>
          <cell r="F2393" t="str">
            <v>Meta 52，F05</v>
          </cell>
          <cell r="G2393">
            <v>20</v>
          </cell>
          <cell r="H2393" t="str">
            <v>鸭肠道微生物</v>
          </cell>
          <cell r="I2393">
            <v>557</v>
          </cell>
          <cell r="J2393">
            <v>35.4</v>
          </cell>
          <cell r="K2393">
            <v>88.72</v>
          </cell>
          <cell r="L2393" t="str">
            <v>合格</v>
          </cell>
          <cell r="M2393" t="str">
            <v>王丹丹/孙家孟</v>
          </cell>
          <cell r="N2393" t="str">
            <v>181128-3-63</v>
          </cell>
          <cell r="Q2393">
            <v>557</v>
          </cell>
        </row>
        <row r="2394">
          <cell r="E2394" t="str">
            <v>HFMET181123A2541-108-134</v>
          </cell>
          <cell r="F2394" t="str">
            <v>Meta 52，F06</v>
          </cell>
          <cell r="G2394">
            <v>20</v>
          </cell>
          <cell r="H2394" t="str">
            <v>鸭肠道微生物</v>
          </cell>
          <cell r="I2394">
            <v>556</v>
          </cell>
          <cell r="J2394">
            <v>24.4</v>
          </cell>
          <cell r="K2394">
            <v>63.34</v>
          </cell>
          <cell r="L2394" t="str">
            <v>合格</v>
          </cell>
          <cell r="M2394" t="str">
            <v>王丹丹/孙家孟</v>
          </cell>
          <cell r="N2394" t="str">
            <v>181128-3-64</v>
          </cell>
          <cell r="Q2394">
            <v>556</v>
          </cell>
        </row>
        <row r="2395">
          <cell r="E2395" t="str">
            <v>HFMET181123A2542-101-135</v>
          </cell>
          <cell r="F2395" t="str">
            <v>Meta 52，F07</v>
          </cell>
          <cell r="G2395">
            <v>20</v>
          </cell>
          <cell r="H2395" t="str">
            <v>鸭肠道微生物</v>
          </cell>
          <cell r="I2395">
            <v>567</v>
          </cell>
          <cell r="J2395">
            <v>19.34</v>
          </cell>
          <cell r="K2395">
            <v>49.07</v>
          </cell>
          <cell r="L2395" t="str">
            <v>合格</v>
          </cell>
          <cell r="M2395" t="str">
            <v>王丹丹/孙家孟</v>
          </cell>
          <cell r="N2395" t="str">
            <v>181128-3-65</v>
          </cell>
          <cell r="Q2395">
            <v>567</v>
          </cell>
        </row>
        <row r="2396">
          <cell r="E2396" t="str">
            <v>HFMET181123A2543-102-135</v>
          </cell>
          <cell r="F2396" t="str">
            <v>Meta 52，F08</v>
          </cell>
          <cell r="G2396">
            <v>20</v>
          </cell>
          <cell r="H2396" t="str">
            <v>鸭肠道微生物</v>
          </cell>
          <cell r="I2396">
            <v>642</v>
          </cell>
          <cell r="J2396">
            <v>0.44</v>
          </cell>
          <cell r="K2396">
            <v>1.05</v>
          </cell>
          <cell r="L2396" t="str">
            <v>不合格</v>
          </cell>
          <cell r="M2396" t="str">
            <v>王丹丹/孙家孟</v>
          </cell>
          <cell r="N2396" t="str">
            <v>181128-3-66</v>
          </cell>
          <cell r="Q2396">
            <v>642</v>
          </cell>
        </row>
        <row r="2397">
          <cell r="E2397" t="str">
            <v>HFMET181123A2544-103-135</v>
          </cell>
          <cell r="F2397" t="str">
            <v>Meta 52，F09</v>
          </cell>
          <cell r="G2397">
            <v>20</v>
          </cell>
          <cell r="H2397" t="str">
            <v>鸭肠道微生物</v>
          </cell>
          <cell r="I2397">
            <v>562</v>
          </cell>
          <cell r="J2397">
            <v>11.43</v>
          </cell>
          <cell r="K2397">
            <v>29.36</v>
          </cell>
          <cell r="L2397" t="str">
            <v>合格</v>
          </cell>
          <cell r="M2397" t="str">
            <v>王丹丹/孙家孟</v>
          </cell>
          <cell r="N2397" t="str">
            <v>181128-3-67</v>
          </cell>
          <cell r="Q2397">
            <v>562</v>
          </cell>
        </row>
        <row r="2398">
          <cell r="E2398" t="str">
            <v>HFMET181123A2545-104-135</v>
          </cell>
          <cell r="F2398" t="str">
            <v>Meta 52，F10</v>
          </cell>
          <cell r="G2398">
            <v>20</v>
          </cell>
          <cell r="H2398" t="str">
            <v>鸭肠道微生物</v>
          </cell>
          <cell r="I2398">
            <v>610</v>
          </cell>
          <cell r="J2398">
            <v>3.72</v>
          </cell>
          <cell r="K2398">
            <v>9.0399999999999991</v>
          </cell>
          <cell r="L2398" t="str">
            <v>合格</v>
          </cell>
          <cell r="M2398" t="str">
            <v>王丹丹/孙家孟</v>
          </cell>
          <cell r="N2398" t="str">
            <v>181128-3-68</v>
          </cell>
          <cell r="Q2398">
            <v>610</v>
          </cell>
        </row>
        <row r="2399">
          <cell r="E2399" t="str">
            <v>HFMET181123A2546-105-135</v>
          </cell>
          <cell r="F2399" t="str">
            <v>Meta 52，F11</v>
          </cell>
          <cell r="G2399">
            <v>20</v>
          </cell>
          <cell r="H2399" t="str">
            <v>鸭肠道微生物</v>
          </cell>
          <cell r="I2399">
            <v>595</v>
          </cell>
          <cell r="J2399">
            <v>3.87</v>
          </cell>
          <cell r="K2399">
            <v>9.6300000000000008</v>
          </cell>
          <cell r="L2399" t="str">
            <v>合格</v>
          </cell>
          <cell r="M2399" t="str">
            <v>王丹丹/孙家孟</v>
          </cell>
          <cell r="N2399" t="str">
            <v>181128-3-69</v>
          </cell>
          <cell r="Q2399">
            <v>595</v>
          </cell>
        </row>
        <row r="2400">
          <cell r="E2400" t="str">
            <v>HFMET181123A2547-106-135</v>
          </cell>
          <cell r="F2400" t="str">
            <v>Meta 52，F12</v>
          </cell>
          <cell r="G2400">
            <v>20</v>
          </cell>
          <cell r="H2400" t="str">
            <v>鸭肠道微生物</v>
          </cell>
          <cell r="I2400">
            <v>615</v>
          </cell>
          <cell r="J2400">
            <v>1.75</v>
          </cell>
          <cell r="K2400">
            <v>4.26</v>
          </cell>
          <cell r="L2400" t="str">
            <v>合格</v>
          </cell>
          <cell r="M2400" t="str">
            <v>王丹丹/孙家孟</v>
          </cell>
          <cell r="N2400" t="str">
            <v>181128-3-70</v>
          </cell>
          <cell r="Q2400">
            <v>615</v>
          </cell>
        </row>
        <row r="2401">
          <cell r="E2401" t="str">
            <v>HFMET181123A2548-107-135</v>
          </cell>
          <cell r="F2401" t="str">
            <v>Meta 52，G01</v>
          </cell>
          <cell r="G2401">
            <v>20</v>
          </cell>
          <cell r="H2401" t="str">
            <v>鸭肠道微生物</v>
          </cell>
          <cell r="I2401">
            <v>554</v>
          </cell>
          <cell r="J2401">
            <v>11.57</v>
          </cell>
          <cell r="K2401">
            <v>30.36</v>
          </cell>
          <cell r="L2401" t="str">
            <v>合格</v>
          </cell>
          <cell r="M2401" t="str">
            <v>王丹丹/孙家孟</v>
          </cell>
          <cell r="N2401" t="str">
            <v>181128-3-71</v>
          </cell>
          <cell r="Q2401">
            <v>554</v>
          </cell>
        </row>
        <row r="2402">
          <cell r="E2402" t="str">
            <v>HFMET181123A2549-108-135</v>
          </cell>
          <cell r="F2402" t="str">
            <v>Meta 52，G02</v>
          </cell>
          <cell r="G2402">
            <v>20</v>
          </cell>
          <cell r="H2402" t="str">
            <v>鸭肠道微生物</v>
          </cell>
          <cell r="I2402">
            <v>550</v>
          </cell>
          <cell r="J2402">
            <v>16.399999999999999</v>
          </cell>
          <cell r="K2402">
            <v>43.16</v>
          </cell>
          <cell r="L2402" t="str">
            <v>合格</v>
          </cell>
          <cell r="M2402" t="str">
            <v>王丹丹/孙家孟</v>
          </cell>
          <cell r="N2402" t="str">
            <v>181128-3-72</v>
          </cell>
          <cell r="Q2402">
            <v>550</v>
          </cell>
        </row>
        <row r="2403">
          <cell r="E2403" t="str">
            <v>HFMET181123A2550-101-136</v>
          </cell>
          <cell r="F2403" t="str">
            <v>Meta 52，G03</v>
          </cell>
          <cell r="G2403">
            <v>20</v>
          </cell>
          <cell r="H2403" t="str">
            <v>鸭肠道微生物</v>
          </cell>
          <cell r="I2403">
            <v>569</v>
          </cell>
          <cell r="J2403">
            <v>18</v>
          </cell>
          <cell r="K2403">
            <v>45.1</v>
          </cell>
          <cell r="L2403" t="str">
            <v>合格</v>
          </cell>
          <cell r="M2403" t="str">
            <v>王丹丹/孙家孟</v>
          </cell>
          <cell r="N2403" t="str">
            <v>181128-3-73</v>
          </cell>
          <cell r="Q2403">
            <v>569</v>
          </cell>
        </row>
        <row r="2404">
          <cell r="E2404" t="str">
            <v>HFMET181123A2551-102-136</v>
          </cell>
          <cell r="F2404" t="str">
            <v>Meta 52，G04</v>
          </cell>
          <cell r="G2404">
            <v>20</v>
          </cell>
          <cell r="H2404" t="str">
            <v>鸭肠道微生物</v>
          </cell>
          <cell r="I2404">
            <v>601</v>
          </cell>
          <cell r="J2404">
            <v>4.25</v>
          </cell>
          <cell r="K2404">
            <v>10.61</v>
          </cell>
          <cell r="L2404" t="str">
            <v>合格</v>
          </cell>
          <cell r="M2404" t="str">
            <v>王丹丹/孙家孟</v>
          </cell>
          <cell r="N2404" t="str">
            <v>181128-3-74</v>
          </cell>
          <cell r="Q2404">
            <v>601</v>
          </cell>
        </row>
        <row r="2405">
          <cell r="E2405" t="str">
            <v>HFMET181123A2552-103-136</v>
          </cell>
          <cell r="F2405" t="str">
            <v>Meta 52，G05</v>
          </cell>
          <cell r="G2405">
            <v>20</v>
          </cell>
          <cell r="H2405" t="str">
            <v>鸭肠道微生物</v>
          </cell>
          <cell r="I2405">
            <v>566</v>
          </cell>
          <cell r="J2405">
            <v>14.64</v>
          </cell>
          <cell r="K2405">
            <v>37.07</v>
          </cell>
          <cell r="L2405" t="str">
            <v>合格</v>
          </cell>
          <cell r="M2405" t="str">
            <v>王丹丹/孙家孟</v>
          </cell>
          <cell r="N2405" t="str">
            <v>181128-3-75</v>
          </cell>
          <cell r="Q2405">
            <v>566</v>
          </cell>
        </row>
        <row r="2406">
          <cell r="E2406" t="str">
            <v>HFMET181123A2553-104-136</v>
          </cell>
          <cell r="F2406" t="str">
            <v>Meta 52，G06</v>
          </cell>
          <cell r="G2406">
            <v>20</v>
          </cell>
          <cell r="H2406" t="str">
            <v>鸭肠道微生物</v>
          </cell>
          <cell r="I2406">
            <v>625</v>
          </cell>
          <cell r="J2406">
            <v>2.09</v>
          </cell>
          <cell r="K2406">
            <v>5.14</v>
          </cell>
          <cell r="L2406" t="str">
            <v>合格</v>
          </cell>
          <cell r="M2406" t="str">
            <v>王丹丹/孙家孟</v>
          </cell>
          <cell r="N2406" t="str">
            <v>181128-3-76</v>
          </cell>
          <cell r="Q2406">
            <v>625</v>
          </cell>
        </row>
        <row r="2407">
          <cell r="E2407" t="str">
            <v>HFMET181123A2554-105-136</v>
          </cell>
          <cell r="F2407" t="str">
            <v>Meta 52，G07</v>
          </cell>
          <cell r="G2407">
            <v>20</v>
          </cell>
          <cell r="H2407" t="str">
            <v>鸭肠道微生物</v>
          </cell>
          <cell r="I2407">
            <v>628</v>
          </cell>
          <cell r="J2407">
            <v>0.56999999999999995</v>
          </cell>
          <cell r="K2407">
            <v>1.37</v>
          </cell>
          <cell r="L2407" t="str">
            <v>不合格</v>
          </cell>
          <cell r="M2407" t="str">
            <v>王丹丹/孙家孟</v>
          </cell>
          <cell r="N2407" t="str">
            <v>181128-3-77</v>
          </cell>
          <cell r="Q2407">
            <v>628</v>
          </cell>
        </row>
        <row r="2408">
          <cell r="E2408" t="str">
            <v>HFMET181123A2555-106-136</v>
          </cell>
          <cell r="F2408" t="str">
            <v>Meta 52，G08</v>
          </cell>
          <cell r="G2408">
            <v>20</v>
          </cell>
          <cell r="H2408" t="str">
            <v>鸭肠道微生物</v>
          </cell>
          <cell r="I2408">
            <v>541</v>
          </cell>
          <cell r="J2408">
            <v>22.51</v>
          </cell>
          <cell r="K2408">
            <v>58.34</v>
          </cell>
          <cell r="L2408" t="str">
            <v>合格</v>
          </cell>
          <cell r="M2408" t="str">
            <v>王丹丹/孙家孟</v>
          </cell>
          <cell r="N2408" t="str">
            <v>181128-3-78</v>
          </cell>
          <cell r="Q2408">
            <v>541</v>
          </cell>
        </row>
        <row r="2409">
          <cell r="E2409" t="str">
            <v>HFMET181123A2556-107-136</v>
          </cell>
          <cell r="F2409" t="str">
            <v>Meta 52，G09</v>
          </cell>
          <cell r="G2409">
            <v>20</v>
          </cell>
          <cell r="H2409" t="str">
            <v>鸭肠道微生物</v>
          </cell>
          <cell r="I2409">
            <v>561</v>
          </cell>
          <cell r="J2409">
            <v>11.31</v>
          </cell>
          <cell r="K2409">
            <v>29.16</v>
          </cell>
          <cell r="L2409" t="str">
            <v>合格</v>
          </cell>
          <cell r="M2409" t="str">
            <v>王丹丹/孙家孟</v>
          </cell>
          <cell r="N2409" t="str">
            <v>181128-3-79</v>
          </cell>
          <cell r="Q2409">
            <v>561</v>
          </cell>
        </row>
        <row r="2410">
          <cell r="E2410" t="str">
            <v>HFMET181123A2557-108-136</v>
          </cell>
          <cell r="F2410" t="str">
            <v>Meta 52，G10</v>
          </cell>
          <cell r="G2410">
            <v>20</v>
          </cell>
          <cell r="H2410" t="str">
            <v>鸭肠道微生物</v>
          </cell>
          <cell r="I2410">
            <v>586</v>
          </cell>
          <cell r="J2410">
            <v>4.9800000000000004</v>
          </cell>
          <cell r="K2410">
            <v>12.68</v>
          </cell>
          <cell r="L2410" t="str">
            <v>合格</v>
          </cell>
          <cell r="M2410" t="str">
            <v>王丹丹/孙家孟</v>
          </cell>
          <cell r="N2410" t="str">
            <v>181128-3-80</v>
          </cell>
          <cell r="Q2410">
            <v>586</v>
          </cell>
        </row>
        <row r="2411">
          <cell r="E2411" t="str">
            <v>HFMET181123A2558-101-137</v>
          </cell>
          <cell r="F2411" t="str">
            <v>Meta 52，G11</v>
          </cell>
          <cell r="G2411">
            <v>20</v>
          </cell>
          <cell r="H2411" t="str">
            <v>鸭肠道微生物</v>
          </cell>
          <cell r="I2411">
            <v>555</v>
          </cell>
          <cell r="J2411">
            <v>15.09</v>
          </cell>
          <cell r="K2411">
            <v>39.39</v>
          </cell>
          <cell r="L2411" t="str">
            <v>合格</v>
          </cell>
          <cell r="M2411" t="str">
            <v>王丹丹/孙家孟</v>
          </cell>
          <cell r="N2411" t="str">
            <v>181128-3-81</v>
          </cell>
          <cell r="Q2411">
            <v>555</v>
          </cell>
        </row>
        <row r="2412">
          <cell r="E2412" t="str">
            <v>HFMET181123A2559-102-137</v>
          </cell>
          <cell r="F2412" t="str">
            <v>Meta 52，G12</v>
          </cell>
          <cell r="G2412">
            <v>20</v>
          </cell>
          <cell r="H2412" t="str">
            <v>鸭肠道微生物</v>
          </cell>
          <cell r="I2412">
            <v>605</v>
          </cell>
          <cell r="J2412">
            <v>5.63</v>
          </cell>
          <cell r="K2412">
            <v>14.04</v>
          </cell>
          <cell r="L2412" t="str">
            <v>合格</v>
          </cell>
          <cell r="M2412" t="str">
            <v>王丹丹/孙家孟</v>
          </cell>
          <cell r="N2412" t="str">
            <v>181128-3-82</v>
          </cell>
          <cell r="Q2412">
            <v>605</v>
          </cell>
        </row>
        <row r="2413">
          <cell r="E2413" t="str">
            <v>HFMET181123A2560-103-137</v>
          </cell>
          <cell r="F2413" t="str">
            <v>Meta 52，H01</v>
          </cell>
          <cell r="G2413">
            <v>20</v>
          </cell>
          <cell r="H2413" t="str">
            <v>鸭肠道微生物</v>
          </cell>
          <cell r="I2413">
            <v>618</v>
          </cell>
          <cell r="J2413">
            <v>2.38</v>
          </cell>
          <cell r="K2413">
            <v>5.8</v>
          </cell>
          <cell r="L2413" t="str">
            <v>合格</v>
          </cell>
          <cell r="M2413" t="str">
            <v>王丹丹/孙家孟</v>
          </cell>
          <cell r="N2413" t="str">
            <v>181128-3-83</v>
          </cell>
          <cell r="Q2413">
            <v>618</v>
          </cell>
        </row>
        <row r="2414">
          <cell r="E2414" t="str">
            <v>HFMET181123A2561-104-137</v>
          </cell>
          <cell r="F2414" t="str">
            <v>Meta 52，H02</v>
          </cell>
          <cell r="G2414">
            <v>20</v>
          </cell>
          <cell r="H2414" t="str">
            <v>鸭肠道微生物</v>
          </cell>
          <cell r="I2414">
            <v>552</v>
          </cell>
          <cell r="J2414">
            <v>17.43</v>
          </cell>
          <cell r="K2414">
            <v>45.06</v>
          </cell>
          <cell r="L2414" t="str">
            <v>合格</v>
          </cell>
          <cell r="M2414" t="str">
            <v>王丹丹/孙家孟</v>
          </cell>
          <cell r="N2414" t="str">
            <v>181128-3-84</v>
          </cell>
          <cell r="Q2414">
            <v>552</v>
          </cell>
        </row>
        <row r="2415">
          <cell r="E2415" t="str">
            <v>HFMET181123A2562-105-137</v>
          </cell>
          <cell r="F2415" t="str">
            <v>Meta 52，H03</v>
          </cell>
          <cell r="G2415">
            <v>20</v>
          </cell>
          <cell r="H2415" t="str">
            <v>鸭肠道微生物</v>
          </cell>
          <cell r="I2415">
            <v>533</v>
          </cell>
          <cell r="J2415">
            <v>37.200000000000003</v>
          </cell>
          <cell r="K2415">
            <v>97.65</v>
          </cell>
          <cell r="L2415" t="str">
            <v>合格</v>
          </cell>
          <cell r="M2415" t="str">
            <v>王丹丹/孙家孟</v>
          </cell>
          <cell r="N2415" t="str">
            <v>181128-3-85</v>
          </cell>
          <cell r="Q2415">
            <v>533</v>
          </cell>
        </row>
        <row r="2416">
          <cell r="E2416" t="str">
            <v>HFMET181123A2563-106-137</v>
          </cell>
          <cell r="F2416" t="str">
            <v>Meta 52，H04</v>
          </cell>
          <cell r="G2416">
            <v>20</v>
          </cell>
          <cell r="H2416" t="str">
            <v>鸭肠道微生物</v>
          </cell>
          <cell r="I2416">
            <v>603</v>
          </cell>
          <cell r="J2416">
            <v>5.25</v>
          </cell>
          <cell r="K2416">
            <v>12.86</v>
          </cell>
          <cell r="L2416" t="str">
            <v>合格</v>
          </cell>
          <cell r="M2416" t="str">
            <v>王丹丹/孙家孟</v>
          </cell>
          <cell r="N2416" t="str">
            <v>181128-3-86</v>
          </cell>
          <cell r="Q2416">
            <v>603</v>
          </cell>
        </row>
        <row r="2417">
          <cell r="E2417" t="str">
            <v>HFMET181123A2564-107-137</v>
          </cell>
          <cell r="F2417" t="str">
            <v>Meta 52，H05</v>
          </cell>
          <cell r="G2417">
            <v>20</v>
          </cell>
          <cell r="H2417" t="str">
            <v>鸭肠道微生物</v>
          </cell>
          <cell r="I2417">
            <v>535</v>
          </cell>
          <cell r="J2417">
            <v>44.11</v>
          </cell>
          <cell r="K2417">
            <v>113.82</v>
          </cell>
          <cell r="L2417" t="str">
            <v>合格</v>
          </cell>
          <cell r="M2417" t="str">
            <v>王丹丹/孙家孟</v>
          </cell>
          <cell r="N2417" t="str">
            <v>181128-3-87</v>
          </cell>
          <cell r="Q2417">
            <v>535</v>
          </cell>
        </row>
        <row r="2418">
          <cell r="E2418" t="str">
            <v>HFMET181123A2565-108-137</v>
          </cell>
          <cell r="F2418" t="str">
            <v>Meta 52，H06</v>
          </cell>
          <cell r="G2418">
            <v>20</v>
          </cell>
          <cell r="H2418" t="str">
            <v>鸭肠道微生物</v>
          </cell>
          <cell r="I2418">
            <v>628</v>
          </cell>
          <cell r="J2418">
            <v>1.95</v>
          </cell>
          <cell r="K2418">
            <v>4.7699999999999996</v>
          </cell>
          <cell r="L2418" t="str">
            <v>合格</v>
          </cell>
          <cell r="M2418" t="str">
            <v>王丹丹/孙家孟</v>
          </cell>
          <cell r="N2418" t="str">
            <v>181128-3-88</v>
          </cell>
          <cell r="Q2418">
            <v>628</v>
          </cell>
        </row>
        <row r="2419">
          <cell r="E2419" t="str">
            <v>HFMET181123A2566-101-112</v>
          </cell>
          <cell r="F2419" t="str">
            <v>Meta 52，H07</v>
          </cell>
          <cell r="G2419">
            <v>20</v>
          </cell>
          <cell r="H2419" t="str">
            <v>鸭肠道微生物</v>
          </cell>
          <cell r="I2419">
            <v>569</v>
          </cell>
          <cell r="J2419">
            <v>13.37</v>
          </cell>
          <cell r="K2419">
            <v>34.380000000000003</v>
          </cell>
          <cell r="L2419" t="str">
            <v>合格</v>
          </cell>
          <cell r="M2419" t="str">
            <v>王丹丹/孙家孟</v>
          </cell>
          <cell r="N2419" t="str">
            <v>181128-3-89</v>
          </cell>
          <cell r="Q2419">
            <v>569</v>
          </cell>
        </row>
        <row r="2420">
          <cell r="E2420" t="str">
            <v>HFMET181123A2567-102-112</v>
          </cell>
          <cell r="F2420" t="str">
            <v>Meta 52，H08</v>
          </cell>
          <cell r="G2420">
            <v>20</v>
          </cell>
          <cell r="H2420" t="str">
            <v>鸭肠道微生物</v>
          </cell>
          <cell r="I2420">
            <v>604</v>
          </cell>
          <cell r="J2420">
            <v>5.65</v>
          </cell>
          <cell r="K2420">
            <v>14.04</v>
          </cell>
          <cell r="L2420" t="str">
            <v>合格</v>
          </cell>
          <cell r="M2420" t="str">
            <v>王丹丹/孙家孟</v>
          </cell>
          <cell r="N2420" t="str">
            <v>181128-3-90</v>
          </cell>
          <cell r="Q2420">
            <v>604</v>
          </cell>
        </row>
        <row r="2421">
          <cell r="E2421" t="str">
            <v>HFMET181123A2568-103-112</v>
          </cell>
          <cell r="F2421" t="str">
            <v>Meta 52，H09</v>
          </cell>
          <cell r="G2421">
            <v>20</v>
          </cell>
          <cell r="H2421" t="str">
            <v>鸭肠道微生物</v>
          </cell>
          <cell r="I2421">
            <v>607</v>
          </cell>
          <cell r="J2421">
            <v>5.28</v>
          </cell>
          <cell r="K2421">
            <v>12.84</v>
          </cell>
          <cell r="L2421" t="str">
            <v>合格</v>
          </cell>
          <cell r="M2421" t="str">
            <v>王丹丹/孙家孟</v>
          </cell>
          <cell r="N2421" t="str">
            <v>181128-3-91</v>
          </cell>
          <cell r="Q2421">
            <v>607</v>
          </cell>
        </row>
        <row r="2422">
          <cell r="E2422" t="str">
            <v>HFMET181123A2569-104-112</v>
          </cell>
          <cell r="F2422" t="str">
            <v>Meta 52，H10</v>
          </cell>
          <cell r="G2422">
            <v>20</v>
          </cell>
          <cell r="H2422" t="str">
            <v>鸭肠道微生物</v>
          </cell>
          <cell r="I2422">
            <v>545</v>
          </cell>
          <cell r="J2422">
            <v>20.56</v>
          </cell>
          <cell r="K2422">
            <v>52.99</v>
          </cell>
          <cell r="L2422" t="str">
            <v>合格</v>
          </cell>
          <cell r="M2422" t="str">
            <v>王丹丹/孙家孟</v>
          </cell>
          <cell r="N2422" t="str">
            <v>181128-3-92</v>
          </cell>
          <cell r="Q2422">
            <v>545</v>
          </cell>
        </row>
        <row r="2423">
          <cell r="E2423" t="str">
            <v>HFMET181123A2570-105-112</v>
          </cell>
          <cell r="F2423" t="str">
            <v>Meta 52，H11</v>
          </cell>
          <cell r="G2423">
            <v>20</v>
          </cell>
          <cell r="H2423" t="str">
            <v>鸭肠道微生物</v>
          </cell>
          <cell r="I2423">
            <v>608</v>
          </cell>
          <cell r="J2423">
            <v>3.73</v>
          </cell>
          <cell r="K2423">
            <v>9.1199999999999992</v>
          </cell>
          <cell r="L2423" t="str">
            <v>合格</v>
          </cell>
          <cell r="M2423" t="str">
            <v>王丹丹/孙家孟</v>
          </cell>
          <cell r="N2423" t="str">
            <v>181128-3-93</v>
          </cell>
          <cell r="Q2423">
            <v>608</v>
          </cell>
        </row>
        <row r="2424">
          <cell r="E2424" t="str">
            <v>HFMET181123A2571-1-132</v>
          </cell>
          <cell r="F2424" t="str">
            <v>Meta 53，A03</v>
          </cell>
          <cell r="G2424">
            <v>20</v>
          </cell>
          <cell r="H2424" t="str">
            <v>鸭肠道微生物</v>
          </cell>
          <cell r="I2424">
            <v>594</v>
          </cell>
          <cell r="J2424">
            <v>14.62</v>
          </cell>
          <cell r="K2424">
            <v>35.21</v>
          </cell>
          <cell r="L2424" t="str">
            <v>合格</v>
          </cell>
          <cell r="M2424" t="str">
            <v>王丹丹/孙家孟</v>
          </cell>
          <cell r="N2424" t="str">
            <v>181128-1-37</v>
          </cell>
          <cell r="Q2424">
            <v>594</v>
          </cell>
        </row>
        <row r="2425">
          <cell r="E2425" t="str">
            <v>HFMET181123A2572-16-132</v>
          </cell>
          <cell r="F2425" t="str">
            <v>Meta 53，A04</v>
          </cell>
          <cell r="G2425">
            <v>20</v>
          </cell>
          <cell r="H2425" t="str">
            <v>鸭肠道微生物</v>
          </cell>
          <cell r="I2425">
            <v>564</v>
          </cell>
          <cell r="J2425">
            <v>34.79</v>
          </cell>
          <cell r="K2425">
            <v>87.04</v>
          </cell>
          <cell r="L2425" t="str">
            <v>合格</v>
          </cell>
          <cell r="M2425" t="str">
            <v>王丹丹/孙家孟</v>
          </cell>
          <cell r="N2425" t="str">
            <v>181128-1-38</v>
          </cell>
          <cell r="Q2425">
            <v>564</v>
          </cell>
        </row>
        <row r="2426">
          <cell r="E2426" t="str">
            <v>HFMET181123A2573-17-132</v>
          </cell>
          <cell r="F2426" t="str">
            <v>Meta 53，A05</v>
          </cell>
          <cell r="G2426">
            <v>20</v>
          </cell>
          <cell r="H2426" t="str">
            <v>鸭肠道微生物</v>
          </cell>
          <cell r="I2426">
            <v>556</v>
          </cell>
          <cell r="J2426">
            <v>17.25</v>
          </cell>
          <cell r="K2426">
            <v>44.6</v>
          </cell>
          <cell r="L2426" t="str">
            <v>合格</v>
          </cell>
          <cell r="M2426" t="str">
            <v>王丹丹/孙家孟</v>
          </cell>
          <cell r="N2426" t="str">
            <v>181128-1-39</v>
          </cell>
          <cell r="Q2426">
            <v>556</v>
          </cell>
        </row>
        <row r="2427">
          <cell r="E2427" t="str">
            <v>HFMET181123A2574-21-132</v>
          </cell>
          <cell r="F2427" t="str">
            <v>Meta 53，A06</v>
          </cell>
          <cell r="G2427">
            <v>20</v>
          </cell>
          <cell r="H2427" t="str">
            <v>鸭肠道微生物</v>
          </cell>
          <cell r="I2427">
            <v>644</v>
          </cell>
          <cell r="J2427">
            <v>0.72</v>
          </cell>
          <cell r="K2427">
            <v>1.71</v>
          </cell>
          <cell r="L2427" t="str">
            <v>不合格</v>
          </cell>
          <cell r="M2427" t="str">
            <v>王丹丹/孙家孟</v>
          </cell>
          <cell r="N2427" t="str">
            <v>181128-1-40</v>
          </cell>
          <cell r="Q2427">
            <v>644</v>
          </cell>
        </row>
        <row r="2428">
          <cell r="E2428" t="str">
            <v>HFMET181123A2575-27-132</v>
          </cell>
          <cell r="F2428" t="str">
            <v>Meta 53，A07</v>
          </cell>
          <cell r="G2428">
            <v>20</v>
          </cell>
          <cell r="H2428" t="str">
            <v>鸭肠道微生物</v>
          </cell>
          <cell r="I2428">
            <v>574</v>
          </cell>
          <cell r="J2428">
            <v>17.75</v>
          </cell>
          <cell r="K2428">
            <v>44.43</v>
          </cell>
          <cell r="L2428" t="str">
            <v>合格</v>
          </cell>
          <cell r="M2428" t="str">
            <v>王丹丹/孙家孟</v>
          </cell>
          <cell r="N2428" t="str">
            <v>181128-1-41</v>
          </cell>
          <cell r="Q2428">
            <v>574</v>
          </cell>
        </row>
        <row r="2429">
          <cell r="E2429" t="str">
            <v>HFMET181123A2576-84-132</v>
          </cell>
          <cell r="F2429" t="str">
            <v>Meta 53，A08</v>
          </cell>
          <cell r="G2429">
            <v>20</v>
          </cell>
          <cell r="H2429" t="str">
            <v>鸭肠道微生物</v>
          </cell>
          <cell r="I2429">
            <v>570</v>
          </cell>
          <cell r="J2429">
            <v>25.23</v>
          </cell>
          <cell r="K2429">
            <v>63.45</v>
          </cell>
          <cell r="L2429" t="str">
            <v>合格</v>
          </cell>
          <cell r="M2429" t="str">
            <v>王丹丹/孙家孟</v>
          </cell>
          <cell r="N2429" t="str">
            <v>181128-1-42</v>
          </cell>
          <cell r="Q2429">
            <v>570</v>
          </cell>
        </row>
        <row r="2430">
          <cell r="E2430" t="str">
            <v>HFMET181123A2577-85-132</v>
          </cell>
          <cell r="F2430" t="str">
            <v>Meta 53，A09</v>
          </cell>
          <cell r="G2430">
            <v>20</v>
          </cell>
          <cell r="I2430">
            <v>591</v>
          </cell>
          <cell r="J2430">
            <v>9.4499999999999993</v>
          </cell>
          <cell r="K2430">
            <v>23.54</v>
          </cell>
          <cell r="L2430" t="str">
            <v>合格</v>
          </cell>
          <cell r="M2430" t="str">
            <v>王丹丹/孙家孟</v>
          </cell>
          <cell r="N2430" t="str">
            <v>181128-1-43</v>
          </cell>
          <cell r="Q2430">
            <v>591</v>
          </cell>
        </row>
        <row r="2431">
          <cell r="E2431" t="str">
            <v>HFMET181123A2578-86-132</v>
          </cell>
          <cell r="F2431" t="str">
            <v>Meta 53，A10</v>
          </cell>
          <cell r="G2431">
            <v>20</v>
          </cell>
          <cell r="H2431" t="str">
            <v>小鼠肠道微生物</v>
          </cell>
          <cell r="I2431">
            <v>598</v>
          </cell>
          <cell r="J2431">
            <v>6.96</v>
          </cell>
          <cell r="K2431">
            <v>17.239999999999998</v>
          </cell>
          <cell r="L2431" t="str">
            <v>合格</v>
          </cell>
          <cell r="M2431" t="str">
            <v>王丹丹/孙家孟</v>
          </cell>
          <cell r="N2431" t="str">
            <v>181128-1-44</v>
          </cell>
          <cell r="Q2431">
            <v>598</v>
          </cell>
        </row>
        <row r="2432">
          <cell r="E2432" t="str">
            <v>HFMET181123A2579-1-133</v>
          </cell>
          <cell r="F2432" t="str">
            <v>Meta 53，A11</v>
          </cell>
          <cell r="G2432">
            <v>20</v>
          </cell>
          <cell r="H2432" t="str">
            <v>小鼠肠道微生物</v>
          </cell>
          <cell r="I2432">
            <v>591</v>
          </cell>
          <cell r="J2432">
            <v>15.63</v>
          </cell>
          <cell r="K2432">
            <v>38.35</v>
          </cell>
          <cell r="L2432" t="str">
            <v>合格</v>
          </cell>
          <cell r="M2432" t="str">
            <v>王丹丹/孙家孟</v>
          </cell>
          <cell r="N2432" t="str">
            <v>181128-1-45</v>
          </cell>
          <cell r="Q2432">
            <v>591</v>
          </cell>
        </row>
        <row r="2433">
          <cell r="E2433" t="str">
            <v>HFMET181123A2580-16-133</v>
          </cell>
          <cell r="F2433" t="str">
            <v>Meta 53，A12</v>
          </cell>
          <cell r="G2433">
            <v>20</v>
          </cell>
          <cell r="H2433" t="str">
            <v>小鼠肠道微生物</v>
          </cell>
          <cell r="I2433">
            <v>648</v>
          </cell>
          <cell r="J2433">
            <v>0.89</v>
          </cell>
          <cell r="K2433">
            <v>2.1</v>
          </cell>
          <cell r="L2433" t="str">
            <v>不合格</v>
          </cell>
          <cell r="M2433" t="str">
            <v>王丹丹/孙家孟</v>
          </cell>
          <cell r="N2433" t="str">
            <v>181128-1-46</v>
          </cell>
          <cell r="Q2433">
            <v>648</v>
          </cell>
        </row>
        <row r="2434">
          <cell r="E2434" t="str">
            <v>HFMET181123A2581-17-133</v>
          </cell>
          <cell r="F2434" t="str">
            <v>Meta 53，B01</v>
          </cell>
          <cell r="G2434">
            <v>20</v>
          </cell>
          <cell r="H2434" t="str">
            <v>小鼠肠道微生物</v>
          </cell>
          <cell r="I2434">
            <v>578</v>
          </cell>
          <cell r="J2434">
            <v>18.829999999999998</v>
          </cell>
          <cell r="K2434">
            <v>46.58</v>
          </cell>
          <cell r="L2434" t="str">
            <v>合格</v>
          </cell>
          <cell r="M2434" t="str">
            <v>王丹丹/孙家孟</v>
          </cell>
          <cell r="N2434" t="str">
            <v>181128-1-47</v>
          </cell>
          <cell r="Q2434">
            <v>608</v>
          </cell>
        </row>
        <row r="2435">
          <cell r="E2435" t="str">
            <v>HFMET181123A2582-21-133</v>
          </cell>
          <cell r="F2435" t="str">
            <v>Meta 53，B02</v>
          </cell>
          <cell r="G2435">
            <v>20</v>
          </cell>
          <cell r="H2435" t="str">
            <v>小鼠肠道微生物</v>
          </cell>
          <cell r="I2435">
            <v>615</v>
          </cell>
          <cell r="J2435">
            <v>3.31</v>
          </cell>
          <cell r="K2435">
            <v>8.16</v>
          </cell>
          <cell r="L2435" t="str">
            <v>合格</v>
          </cell>
          <cell r="M2435" t="str">
            <v>王丹丹/孙家孟</v>
          </cell>
          <cell r="N2435" t="str">
            <v>181128-1-48</v>
          </cell>
          <cell r="Q2435">
            <v>615</v>
          </cell>
        </row>
        <row r="2436">
          <cell r="E2436" t="str">
            <v>HFMET181123A2583-27-133</v>
          </cell>
          <cell r="F2436" t="str">
            <v>Meta 53，B03</v>
          </cell>
          <cell r="G2436">
            <v>20</v>
          </cell>
          <cell r="H2436" t="str">
            <v>小鼠肠道微生物</v>
          </cell>
          <cell r="I2436">
            <v>589</v>
          </cell>
          <cell r="J2436">
            <v>7.71</v>
          </cell>
          <cell r="K2436">
            <v>19.34</v>
          </cell>
          <cell r="L2436" t="str">
            <v>合格</v>
          </cell>
          <cell r="M2436" t="str">
            <v>王丹丹/孙家孟</v>
          </cell>
          <cell r="N2436" t="str">
            <v>181128-1-49</v>
          </cell>
          <cell r="Q2436">
            <v>589</v>
          </cell>
        </row>
        <row r="2437">
          <cell r="E2437" t="str">
            <v>HFMET181123A2584-84-133</v>
          </cell>
          <cell r="F2437" t="str">
            <v>Meta 53，B04</v>
          </cell>
          <cell r="G2437">
            <v>20</v>
          </cell>
          <cell r="H2437" t="str">
            <v>小鼠肠道微生物</v>
          </cell>
          <cell r="I2437">
            <v>578</v>
          </cell>
          <cell r="J2437">
            <v>8.93</v>
          </cell>
          <cell r="K2437">
            <v>22.96</v>
          </cell>
          <cell r="L2437" t="str">
            <v>合格</v>
          </cell>
          <cell r="M2437" t="str">
            <v>王丹丹/孙家孟</v>
          </cell>
          <cell r="N2437" t="str">
            <v>181128-1-50</v>
          </cell>
          <cell r="Q2437">
            <v>578</v>
          </cell>
        </row>
        <row r="2438">
          <cell r="E2438" t="str">
            <v>HFMET181123A2585-85-133</v>
          </cell>
          <cell r="F2438" t="str">
            <v>Meta 53，B05</v>
          </cell>
          <cell r="G2438">
            <v>20</v>
          </cell>
          <cell r="H2438" t="str">
            <v>小鼠肠道微生物</v>
          </cell>
          <cell r="I2438">
            <v>609</v>
          </cell>
          <cell r="J2438">
            <v>4.75</v>
          </cell>
          <cell r="K2438">
            <v>11.77</v>
          </cell>
          <cell r="L2438" t="str">
            <v>合格</v>
          </cell>
          <cell r="M2438" t="str">
            <v>王丹丹/孙家孟</v>
          </cell>
          <cell r="N2438" t="str">
            <v>181128-1-51</v>
          </cell>
          <cell r="Q2438">
            <v>609</v>
          </cell>
        </row>
        <row r="2439">
          <cell r="E2439" t="str">
            <v>HFMET181123A2586-86-133</v>
          </cell>
          <cell r="F2439" t="str">
            <v>Meta 53，B06</v>
          </cell>
          <cell r="G2439">
            <v>20</v>
          </cell>
          <cell r="H2439" t="str">
            <v>小鼠肠道微生物</v>
          </cell>
          <cell r="I2439">
            <v>609</v>
          </cell>
          <cell r="J2439">
            <v>4.78</v>
          </cell>
          <cell r="K2439">
            <v>11.82</v>
          </cell>
          <cell r="L2439" t="str">
            <v>合格</v>
          </cell>
          <cell r="M2439" t="str">
            <v>王丹丹/孙家孟</v>
          </cell>
          <cell r="N2439" t="str">
            <v>181128-1-52</v>
          </cell>
          <cell r="Q2439">
            <v>609</v>
          </cell>
        </row>
        <row r="2440">
          <cell r="E2440" t="str">
            <v>HFMET181123A2587-1-134</v>
          </cell>
          <cell r="F2440" t="str">
            <v>Meta 53，B07</v>
          </cell>
          <cell r="G2440">
            <v>20</v>
          </cell>
          <cell r="H2440" t="str">
            <v>小鼠肠道微生物</v>
          </cell>
          <cell r="I2440">
            <v>639</v>
          </cell>
          <cell r="J2440">
            <v>1.52</v>
          </cell>
          <cell r="K2440">
            <v>3.63</v>
          </cell>
          <cell r="L2440" t="str">
            <v>合格</v>
          </cell>
          <cell r="M2440" t="str">
            <v>王丹丹/孙家孟</v>
          </cell>
          <cell r="N2440" t="str">
            <v>181128-1-53</v>
          </cell>
          <cell r="Q2440">
            <v>639</v>
          </cell>
        </row>
        <row r="2441">
          <cell r="E2441" t="str">
            <v>HFMET181123A2588-16-134</v>
          </cell>
          <cell r="F2441" t="str">
            <v>Meta 53，B08</v>
          </cell>
          <cell r="G2441">
            <v>20</v>
          </cell>
          <cell r="H2441" t="str">
            <v>小鼠肠道微生物</v>
          </cell>
          <cell r="I2441">
            <v>647</v>
          </cell>
          <cell r="J2441">
            <v>0.66</v>
          </cell>
          <cell r="K2441">
            <v>1.57</v>
          </cell>
          <cell r="L2441" t="str">
            <v>不合格</v>
          </cell>
          <cell r="M2441" t="str">
            <v>王丹丹/孙家孟</v>
          </cell>
          <cell r="N2441" t="str">
            <v>181128-1-54</v>
          </cell>
          <cell r="Q2441">
            <v>647</v>
          </cell>
        </row>
        <row r="2442">
          <cell r="E2442" t="str">
            <v>HFMET181123A2589-17-134</v>
          </cell>
          <cell r="F2442" t="str">
            <v>Meta 53，B09</v>
          </cell>
          <cell r="G2442">
            <v>20</v>
          </cell>
          <cell r="H2442" t="str">
            <v>小鼠肠道微生物</v>
          </cell>
          <cell r="I2442">
            <v>640</v>
          </cell>
          <cell r="J2442">
            <v>1.97</v>
          </cell>
          <cell r="K2442">
            <v>4.7</v>
          </cell>
          <cell r="L2442" t="str">
            <v>合格</v>
          </cell>
          <cell r="M2442" t="str">
            <v>王丹丹/孙家孟</v>
          </cell>
          <cell r="N2442" t="str">
            <v>181128-1-55</v>
          </cell>
          <cell r="Q2442">
            <v>640</v>
          </cell>
        </row>
        <row r="2443">
          <cell r="E2443" t="str">
            <v>HFMET181123A2590-21-134</v>
          </cell>
          <cell r="F2443" t="str">
            <v>Meta 53，B10</v>
          </cell>
          <cell r="G2443">
            <v>20</v>
          </cell>
          <cell r="H2443" t="str">
            <v>小鼠肠道微生物</v>
          </cell>
          <cell r="I2443">
            <v>620</v>
          </cell>
          <cell r="J2443">
            <v>3.38</v>
          </cell>
          <cell r="K2443">
            <v>8.19</v>
          </cell>
          <cell r="L2443" t="str">
            <v>合格</v>
          </cell>
          <cell r="M2443" t="str">
            <v>王丹丹/孙家孟</v>
          </cell>
          <cell r="N2443" t="str">
            <v>181128-1-56</v>
          </cell>
          <cell r="Q2443">
            <v>620</v>
          </cell>
        </row>
        <row r="2444">
          <cell r="E2444" t="str">
            <v>HFMET181123A2591-27-134</v>
          </cell>
          <cell r="F2444" t="str">
            <v>Meta 53，B11</v>
          </cell>
          <cell r="G2444">
            <v>20</v>
          </cell>
          <cell r="H2444" t="str">
            <v>小鼠肠道微生物</v>
          </cell>
          <cell r="I2444">
            <v>646</v>
          </cell>
          <cell r="J2444">
            <v>1.23</v>
          </cell>
          <cell r="K2444">
            <v>2.89</v>
          </cell>
          <cell r="L2444" t="str">
            <v>合格</v>
          </cell>
          <cell r="M2444" t="str">
            <v>王丹丹/孙家孟</v>
          </cell>
          <cell r="N2444" t="str">
            <v>181128-1-57</v>
          </cell>
          <cell r="Q2444">
            <v>646</v>
          </cell>
        </row>
        <row r="2445">
          <cell r="E2445" t="str">
            <v>HFMET181123A2592-84-134</v>
          </cell>
          <cell r="F2445" t="str">
            <v>Meta 53，B12</v>
          </cell>
          <cell r="G2445">
            <v>20</v>
          </cell>
          <cell r="H2445" t="str">
            <v>小鼠肠道微生物</v>
          </cell>
          <cell r="I2445">
            <v>546</v>
          </cell>
          <cell r="J2445">
            <v>20.11</v>
          </cell>
          <cell r="K2445">
            <v>53.3</v>
          </cell>
          <cell r="L2445" t="str">
            <v>合格</v>
          </cell>
          <cell r="M2445" t="str">
            <v>王丹丹/孙家孟</v>
          </cell>
          <cell r="N2445" t="str">
            <v>181128-1-58</v>
          </cell>
          <cell r="Q2445">
            <v>546</v>
          </cell>
        </row>
        <row r="2446">
          <cell r="E2446" t="str">
            <v>HFMET181123A2593-85-134</v>
          </cell>
          <cell r="F2446" t="str">
            <v>Meta 53，C01</v>
          </cell>
          <cell r="G2446">
            <v>20</v>
          </cell>
          <cell r="H2446" t="str">
            <v>小鼠肠道微生物</v>
          </cell>
          <cell r="I2446">
            <v>574</v>
          </cell>
          <cell r="J2446">
            <v>11.22</v>
          </cell>
          <cell r="K2446">
            <v>28.76</v>
          </cell>
          <cell r="L2446" t="str">
            <v>合格</v>
          </cell>
          <cell r="M2446" t="str">
            <v>王丹丹/孙家孟</v>
          </cell>
          <cell r="N2446" t="str">
            <v>181128-1-59</v>
          </cell>
          <cell r="Q2446">
            <v>574</v>
          </cell>
        </row>
        <row r="2447">
          <cell r="E2447" t="str">
            <v>HFMET181123A2594-86-134</v>
          </cell>
          <cell r="F2447" t="str">
            <v>Meta 53，C02</v>
          </cell>
          <cell r="G2447">
            <v>20</v>
          </cell>
          <cell r="H2447" t="str">
            <v>小鼠肠道微生物</v>
          </cell>
          <cell r="I2447">
            <v>616</v>
          </cell>
          <cell r="J2447">
            <v>3.68</v>
          </cell>
          <cell r="K2447">
            <v>8.98</v>
          </cell>
          <cell r="L2447" t="str">
            <v>合格</v>
          </cell>
          <cell r="M2447" t="str">
            <v>王丹丹/孙家孟</v>
          </cell>
          <cell r="N2447" t="str">
            <v>181128-1-60</v>
          </cell>
          <cell r="Q2447">
            <v>616</v>
          </cell>
        </row>
        <row r="2448">
          <cell r="E2448" t="str">
            <v>HFMET181123A2595-1-135</v>
          </cell>
          <cell r="F2448" t="str">
            <v>Meta 53，C03</v>
          </cell>
          <cell r="G2448">
            <v>20</v>
          </cell>
          <cell r="H2448" t="str">
            <v>小鼠肠道微生物</v>
          </cell>
          <cell r="I2448">
            <v>584</v>
          </cell>
          <cell r="J2448">
            <v>7.43</v>
          </cell>
          <cell r="K2448">
            <v>18.670000000000002</v>
          </cell>
          <cell r="L2448" t="str">
            <v>合格</v>
          </cell>
          <cell r="M2448" t="str">
            <v>王丹丹/孙家孟</v>
          </cell>
          <cell r="N2448" t="str">
            <v>181128-1-61</v>
          </cell>
          <cell r="Q2448">
            <v>584</v>
          </cell>
        </row>
        <row r="2449">
          <cell r="E2449" t="str">
            <v>HFMET181123A2596-16-135</v>
          </cell>
          <cell r="F2449" t="str">
            <v>Meta 53，C04</v>
          </cell>
          <cell r="G2449">
            <v>20</v>
          </cell>
          <cell r="H2449" t="str">
            <v>小鼠肠道微生物</v>
          </cell>
          <cell r="I2449">
            <v>620</v>
          </cell>
          <cell r="J2449">
            <v>1.87</v>
          </cell>
          <cell r="K2449">
            <v>4.54</v>
          </cell>
          <cell r="L2449" t="str">
            <v>合格</v>
          </cell>
          <cell r="M2449" t="str">
            <v>王丹丹/孙家孟</v>
          </cell>
          <cell r="N2449" t="str">
            <v>181128-1-62</v>
          </cell>
          <cell r="Q2449">
            <v>620</v>
          </cell>
        </row>
        <row r="2450">
          <cell r="E2450" t="str">
            <v>HFMET181123A2597-17-135</v>
          </cell>
          <cell r="F2450" t="str">
            <v>Meta 53，C05</v>
          </cell>
          <cell r="G2450">
            <v>20</v>
          </cell>
          <cell r="H2450" t="str">
            <v>小鼠肠道微生物</v>
          </cell>
          <cell r="I2450">
            <v>614</v>
          </cell>
          <cell r="J2450">
            <v>3.41</v>
          </cell>
          <cell r="K2450">
            <v>8.35</v>
          </cell>
          <cell r="L2450" t="str">
            <v>合格</v>
          </cell>
          <cell r="M2450" t="str">
            <v>王丹丹/孙家孟</v>
          </cell>
          <cell r="N2450" t="str">
            <v>181128-1-63</v>
          </cell>
          <cell r="Q2450">
            <v>614</v>
          </cell>
        </row>
        <row r="2451">
          <cell r="E2451" t="str">
            <v>HFMET181123A2598-21-135</v>
          </cell>
          <cell r="F2451" t="str">
            <v>Meta 53，C06</v>
          </cell>
          <cell r="G2451">
            <v>20</v>
          </cell>
          <cell r="H2451" t="str">
            <v>小鼠肠道微生物</v>
          </cell>
          <cell r="I2451">
            <v>637</v>
          </cell>
          <cell r="J2451">
            <v>0.52</v>
          </cell>
          <cell r="K2451">
            <v>1.25</v>
          </cell>
          <cell r="L2451" t="str">
            <v>不合格</v>
          </cell>
          <cell r="M2451" t="str">
            <v>王丹丹/孙家孟</v>
          </cell>
          <cell r="N2451" t="str">
            <v>181128-1-64</v>
          </cell>
          <cell r="Q2451">
            <v>637</v>
          </cell>
        </row>
        <row r="2452">
          <cell r="E2452" t="str">
            <v>HFMET181123A2599-27-135</v>
          </cell>
          <cell r="F2452" t="str">
            <v>Meta 53，C07</v>
          </cell>
          <cell r="G2452">
            <v>20</v>
          </cell>
          <cell r="H2452" t="str">
            <v>小鼠肠道微生物</v>
          </cell>
          <cell r="I2452">
            <v>574</v>
          </cell>
          <cell r="J2452">
            <v>23.28</v>
          </cell>
          <cell r="K2452">
            <v>56.65</v>
          </cell>
          <cell r="L2452" t="str">
            <v>合格</v>
          </cell>
          <cell r="M2452" t="str">
            <v>王丹丹/孙家孟</v>
          </cell>
          <cell r="N2452" t="str">
            <v>181128-1-65</v>
          </cell>
          <cell r="Q2452">
            <v>574</v>
          </cell>
        </row>
        <row r="2453">
          <cell r="E2453" t="str">
            <v>HFMET181123A2600-84-135</v>
          </cell>
          <cell r="F2453" t="str">
            <v>Meta 53，C08</v>
          </cell>
          <cell r="G2453">
            <v>20</v>
          </cell>
          <cell r="H2453" t="str">
            <v>小鼠肠道微生物</v>
          </cell>
          <cell r="I2453">
            <v>571</v>
          </cell>
          <cell r="J2453">
            <v>25.51</v>
          </cell>
          <cell r="K2453">
            <v>62.13</v>
          </cell>
          <cell r="L2453" t="str">
            <v>合格</v>
          </cell>
          <cell r="M2453" t="str">
            <v>王丹丹/孙家孟</v>
          </cell>
          <cell r="N2453" t="str">
            <v>181128-1-66</v>
          </cell>
          <cell r="Q2453">
            <v>571</v>
          </cell>
        </row>
        <row r="2454">
          <cell r="E2454" t="str">
            <v>HFMET181123A2601-85-135</v>
          </cell>
          <cell r="F2454" t="str">
            <v>Meta 53，C09</v>
          </cell>
          <cell r="G2454">
            <v>20</v>
          </cell>
          <cell r="H2454" t="str">
            <v>小鼠肠道微生物</v>
          </cell>
          <cell r="I2454">
            <v>557</v>
          </cell>
          <cell r="J2454">
            <v>23.54</v>
          </cell>
          <cell r="K2454">
            <v>59.08</v>
          </cell>
          <cell r="L2454" t="str">
            <v>合格</v>
          </cell>
          <cell r="M2454" t="str">
            <v>王丹丹/孙家孟</v>
          </cell>
          <cell r="N2454" t="str">
            <v>181128-1-67</v>
          </cell>
          <cell r="Q2454">
            <v>557</v>
          </cell>
        </row>
        <row r="2455">
          <cell r="E2455" t="str">
            <v>HFMET181123A2602-86-135</v>
          </cell>
          <cell r="F2455" t="str">
            <v>Meta 53，C10</v>
          </cell>
          <cell r="G2455">
            <v>20</v>
          </cell>
          <cell r="H2455" t="str">
            <v>小鼠肠道微生物</v>
          </cell>
          <cell r="I2455">
            <v>580</v>
          </cell>
          <cell r="J2455">
            <v>25.57</v>
          </cell>
          <cell r="K2455">
            <v>61.68</v>
          </cell>
          <cell r="L2455" t="str">
            <v>合格</v>
          </cell>
          <cell r="M2455" t="str">
            <v>王丹丹/孙家孟</v>
          </cell>
          <cell r="N2455" t="str">
            <v>181128-1-68</v>
          </cell>
          <cell r="Q2455">
            <v>580</v>
          </cell>
        </row>
        <row r="2456">
          <cell r="E2456" t="str">
            <v>HFMET181123A2603-1-136</v>
          </cell>
          <cell r="F2456" t="str">
            <v>Meta 53，C11</v>
          </cell>
          <cell r="G2456">
            <v>20</v>
          </cell>
          <cell r="H2456" t="str">
            <v>小鼠肠道微生物</v>
          </cell>
          <cell r="I2456">
            <v>585</v>
          </cell>
          <cell r="J2456">
            <v>21.32</v>
          </cell>
          <cell r="K2456">
            <v>51.31</v>
          </cell>
          <cell r="L2456" t="str">
            <v>合格</v>
          </cell>
          <cell r="M2456" t="str">
            <v>王丹丹/孙家孟</v>
          </cell>
          <cell r="N2456" t="str">
            <v>181128-1-69</v>
          </cell>
          <cell r="Q2456">
            <v>585</v>
          </cell>
        </row>
        <row r="2457">
          <cell r="E2457" t="str">
            <v>HFMET181123A2604-16-136</v>
          </cell>
          <cell r="F2457" t="str">
            <v>Meta 53，C12</v>
          </cell>
          <cell r="G2457">
            <v>20</v>
          </cell>
          <cell r="H2457" t="str">
            <v>小鼠肠道微生物</v>
          </cell>
          <cell r="I2457">
            <v>584</v>
          </cell>
          <cell r="J2457">
            <v>27.88</v>
          </cell>
          <cell r="K2457">
            <v>67.349999999999994</v>
          </cell>
          <cell r="L2457" t="str">
            <v>合格</v>
          </cell>
          <cell r="M2457" t="str">
            <v>王丹丹/孙家孟</v>
          </cell>
          <cell r="N2457" t="str">
            <v>181128-1-70</v>
          </cell>
          <cell r="Q2457">
            <v>584</v>
          </cell>
        </row>
        <row r="2458">
          <cell r="E2458" t="str">
            <v>HFMET181123A2605-17-136</v>
          </cell>
          <cell r="F2458" t="str">
            <v>Meta 53，D01</v>
          </cell>
          <cell r="G2458">
            <v>20</v>
          </cell>
          <cell r="H2458" t="str">
            <v>小鼠肠道微生物</v>
          </cell>
          <cell r="I2458">
            <v>580</v>
          </cell>
          <cell r="J2458">
            <v>29.35</v>
          </cell>
          <cell r="K2458">
            <v>70.13</v>
          </cell>
          <cell r="L2458" t="str">
            <v>合格</v>
          </cell>
          <cell r="M2458" t="str">
            <v>王丹丹/孙家孟</v>
          </cell>
          <cell r="N2458" t="str">
            <v>181128-1-71</v>
          </cell>
          <cell r="Q2458">
            <v>580</v>
          </cell>
        </row>
        <row r="2459">
          <cell r="E2459" t="str">
            <v>HFMET181123A2606-21-136</v>
          </cell>
          <cell r="F2459" t="str">
            <v>Meta 53，D02</v>
          </cell>
          <cell r="G2459">
            <v>20</v>
          </cell>
          <cell r="H2459" t="str">
            <v>小鼠肠道微生物</v>
          </cell>
          <cell r="I2459">
            <v>583</v>
          </cell>
          <cell r="J2459">
            <v>25.22</v>
          </cell>
          <cell r="K2459">
            <v>60.66</v>
          </cell>
          <cell r="L2459" t="str">
            <v>合格</v>
          </cell>
          <cell r="M2459" t="str">
            <v>王丹丹/孙家孟</v>
          </cell>
          <cell r="N2459" t="str">
            <v>181128-1-72</v>
          </cell>
          <cell r="Q2459">
            <v>583</v>
          </cell>
        </row>
        <row r="2460">
          <cell r="E2460" t="str">
            <v>HFMET181123A2607-27-136</v>
          </cell>
          <cell r="F2460" t="str">
            <v>Meta 53，D03</v>
          </cell>
          <cell r="G2460">
            <v>20</v>
          </cell>
          <cell r="H2460" t="str">
            <v>小鼠肠道微生物</v>
          </cell>
          <cell r="I2460">
            <v>588</v>
          </cell>
          <cell r="J2460">
            <v>23.12</v>
          </cell>
          <cell r="K2460">
            <v>54.82</v>
          </cell>
          <cell r="L2460" t="str">
            <v>合格</v>
          </cell>
          <cell r="M2460" t="str">
            <v>王丹丹/孙家孟</v>
          </cell>
          <cell r="N2460" t="str">
            <v>181128-1-73</v>
          </cell>
          <cell r="Q2460">
            <v>588</v>
          </cell>
        </row>
        <row r="2461">
          <cell r="E2461" t="str">
            <v>HFMET181123A2608-84-136</v>
          </cell>
          <cell r="F2461" t="str">
            <v>Meta 53，D04</v>
          </cell>
          <cell r="G2461">
            <v>20</v>
          </cell>
          <cell r="H2461" t="str">
            <v>小鼠肠道微生物</v>
          </cell>
          <cell r="I2461">
            <v>583</v>
          </cell>
          <cell r="J2461">
            <v>27.48</v>
          </cell>
          <cell r="K2461">
            <v>66.11</v>
          </cell>
          <cell r="L2461" t="str">
            <v>合格</v>
          </cell>
          <cell r="M2461" t="str">
            <v>王丹丹/孙家孟</v>
          </cell>
          <cell r="N2461" t="str">
            <v>181128-1-74</v>
          </cell>
          <cell r="Q2461">
            <v>583</v>
          </cell>
        </row>
        <row r="2462">
          <cell r="E2462" t="str">
            <v>HFMET181123A2609-85-136</v>
          </cell>
          <cell r="F2462" t="str">
            <v>Meta 53，D05</v>
          </cell>
          <cell r="G2462">
            <v>20</v>
          </cell>
          <cell r="H2462" t="str">
            <v>小鼠肠道微生物</v>
          </cell>
          <cell r="I2462">
            <v>602</v>
          </cell>
          <cell r="J2462">
            <v>21.9</v>
          </cell>
          <cell r="K2462">
            <v>50.98</v>
          </cell>
          <cell r="L2462" t="str">
            <v>合格</v>
          </cell>
          <cell r="M2462" t="str">
            <v>王丹丹/孙家孟</v>
          </cell>
          <cell r="N2462" t="str">
            <v>181128-1-75</v>
          </cell>
          <cell r="Q2462">
            <v>602</v>
          </cell>
        </row>
        <row r="2463">
          <cell r="E2463" t="str">
            <v>HFMET181123A2610-86-136</v>
          </cell>
          <cell r="F2463" t="str">
            <v>Meta 53，D06</v>
          </cell>
          <cell r="G2463">
            <v>20</v>
          </cell>
          <cell r="H2463" t="str">
            <v>小鼠肠道微生物</v>
          </cell>
          <cell r="I2463">
            <v>597</v>
          </cell>
          <cell r="J2463">
            <v>25.94</v>
          </cell>
          <cell r="K2463">
            <v>60.62</v>
          </cell>
          <cell r="L2463" t="str">
            <v>合格</v>
          </cell>
          <cell r="M2463" t="str">
            <v>王丹丹/孙家孟</v>
          </cell>
          <cell r="N2463" t="str">
            <v>181128-1-76</v>
          </cell>
          <cell r="Q2463">
            <v>597</v>
          </cell>
        </row>
        <row r="2464">
          <cell r="E2464" t="str">
            <v>HFMET181123A2611-1-137</v>
          </cell>
          <cell r="F2464" t="str">
            <v>Meta 53，D07</v>
          </cell>
          <cell r="G2464">
            <v>20</v>
          </cell>
          <cell r="H2464" t="str">
            <v>小鼠肠道微生物</v>
          </cell>
          <cell r="I2464">
            <v>589</v>
          </cell>
          <cell r="J2464">
            <v>21.83</v>
          </cell>
          <cell r="K2464">
            <v>52.29</v>
          </cell>
          <cell r="L2464" t="str">
            <v>合格</v>
          </cell>
          <cell r="M2464" t="str">
            <v>王丹丹/孙家孟</v>
          </cell>
          <cell r="N2464" t="str">
            <v>181128-1-77</v>
          </cell>
          <cell r="Q2464">
            <v>589</v>
          </cell>
        </row>
        <row r="2465">
          <cell r="E2465" t="str">
            <v>HFMET181123A2612-16-137</v>
          </cell>
          <cell r="F2465" t="str">
            <v>Meta 53，D08</v>
          </cell>
          <cell r="G2465">
            <v>20</v>
          </cell>
          <cell r="H2465" t="str">
            <v>小鼠肠道微生物</v>
          </cell>
          <cell r="I2465">
            <v>589</v>
          </cell>
          <cell r="J2465">
            <v>24.86</v>
          </cell>
          <cell r="K2465">
            <v>59.04</v>
          </cell>
          <cell r="L2465" t="str">
            <v>合格</v>
          </cell>
          <cell r="M2465" t="str">
            <v>王丹丹/孙家孟</v>
          </cell>
          <cell r="N2465" t="str">
            <v>181128-1-78</v>
          </cell>
          <cell r="Q2465">
            <v>589</v>
          </cell>
        </row>
        <row r="2466">
          <cell r="E2466" t="str">
            <v>HFMET181123A2613-17-137</v>
          </cell>
          <cell r="F2466" t="str">
            <v>Meta 53，D09</v>
          </cell>
          <cell r="G2466">
            <v>20</v>
          </cell>
          <cell r="H2466" t="str">
            <v>小鼠肠道微生物</v>
          </cell>
          <cell r="I2466">
            <v>582</v>
          </cell>
          <cell r="J2466">
            <v>30.76</v>
          </cell>
          <cell r="K2466">
            <v>73.81</v>
          </cell>
          <cell r="L2466" t="str">
            <v>合格</v>
          </cell>
          <cell r="M2466" t="str">
            <v>王丹丹/孙家孟</v>
          </cell>
          <cell r="N2466" t="str">
            <v>181128-1-79</v>
          </cell>
          <cell r="Q2466">
            <v>582</v>
          </cell>
        </row>
        <row r="2467">
          <cell r="E2467" t="str">
            <v>HFMET181123A2614-21-137</v>
          </cell>
          <cell r="F2467" t="str">
            <v>Meta 53，D10</v>
          </cell>
          <cell r="G2467">
            <v>20</v>
          </cell>
          <cell r="H2467" t="str">
            <v>小鼠肠道微生物</v>
          </cell>
          <cell r="I2467">
            <v>576</v>
          </cell>
          <cell r="J2467">
            <v>28.53</v>
          </cell>
          <cell r="K2467">
            <v>69.739999999999995</v>
          </cell>
          <cell r="L2467" t="str">
            <v>合格</v>
          </cell>
          <cell r="M2467" t="str">
            <v>王丹丹/孙家孟</v>
          </cell>
          <cell r="N2467" t="str">
            <v>181128-1-80</v>
          </cell>
          <cell r="Q2467">
            <v>576</v>
          </cell>
        </row>
        <row r="2468">
          <cell r="E2468" t="str">
            <v>HFMET181123A2615-27-137</v>
          </cell>
          <cell r="F2468" t="str">
            <v>Meta 53，D11</v>
          </cell>
          <cell r="G2468">
            <v>20</v>
          </cell>
          <cell r="H2468" t="str">
            <v>小鼠肠道微生物</v>
          </cell>
          <cell r="I2468">
            <v>575</v>
          </cell>
          <cell r="J2468">
            <v>25.27</v>
          </cell>
          <cell r="K2468">
            <v>61.94</v>
          </cell>
          <cell r="L2468" t="str">
            <v>合格</v>
          </cell>
          <cell r="M2468" t="str">
            <v>王丹丹/孙家孟</v>
          </cell>
          <cell r="N2468" t="str">
            <v>181128-1-81</v>
          </cell>
          <cell r="Q2468">
            <v>575</v>
          </cell>
        </row>
        <row r="2469">
          <cell r="E2469" t="str">
            <v>HFMET181123A2616-84-137</v>
          </cell>
          <cell r="F2469" t="str">
            <v>Meta 53，D12</v>
          </cell>
          <cell r="G2469">
            <v>20</v>
          </cell>
          <cell r="H2469" t="str">
            <v>小鼠肠道微生物</v>
          </cell>
          <cell r="I2469">
            <v>578</v>
          </cell>
          <cell r="J2469">
            <v>25.39</v>
          </cell>
          <cell r="K2469">
            <v>61.77</v>
          </cell>
          <cell r="L2469" t="str">
            <v>合格</v>
          </cell>
          <cell r="M2469" t="str">
            <v>王丹丹/孙家孟</v>
          </cell>
          <cell r="N2469" t="str">
            <v>181128-1-82</v>
          </cell>
          <cell r="Q2469">
            <v>578</v>
          </cell>
        </row>
        <row r="2470">
          <cell r="E2470" t="str">
            <v>HFMET181123A2617-85-137</v>
          </cell>
          <cell r="F2470" t="str">
            <v>Meta 53，E01</v>
          </cell>
          <cell r="G2470">
            <v>20</v>
          </cell>
          <cell r="H2470" t="str">
            <v>小鼠肠道微生物</v>
          </cell>
          <cell r="I2470">
            <v>587</v>
          </cell>
          <cell r="J2470">
            <v>22.7</v>
          </cell>
          <cell r="K2470">
            <v>54.33</v>
          </cell>
          <cell r="L2470" t="str">
            <v>合格</v>
          </cell>
          <cell r="M2470" t="str">
            <v>王丹丹/孙家孟</v>
          </cell>
          <cell r="N2470" t="str">
            <v>181128-1-83</v>
          </cell>
          <cell r="Q2470">
            <v>587</v>
          </cell>
        </row>
        <row r="2471">
          <cell r="E2471" t="str">
            <v>HFMET181123A2618-86-137</v>
          </cell>
          <cell r="F2471" t="str">
            <v>Meta 53，E02</v>
          </cell>
          <cell r="G2471">
            <v>20</v>
          </cell>
          <cell r="H2471" t="str">
            <v>小鼠肠道微生物</v>
          </cell>
          <cell r="I2471">
            <v>576</v>
          </cell>
          <cell r="J2471">
            <v>25.26</v>
          </cell>
          <cell r="K2471">
            <v>61.47</v>
          </cell>
          <cell r="L2471" t="str">
            <v>合格</v>
          </cell>
          <cell r="M2471" t="str">
            <v>王丹丹/孙家孟</v>
          </cell>
          <cell r="N2471" t="str">
            <v>181128-1-84</v>
          </cell>
          <cell r="Q2471">
            <v>576</v>
          </cell>
        </row>
        <row r="2472">
          <cell r="E2472" t="str">
            <v>HFMET181123A2619-1-138</v>
          </cell>
          <cell r="F2472" t="str">
            <v>Meta 53，E03</v>
          </cell>
          <cell r="G2472">
            <v>20</v>
          </cell>
          <cell r="H2472" t="str">
            <v>小鼠肠道微生物</v>
          </cell>
          <cell r="I2472">
            <v>579</v>
          </cell>
          <cell r="J2472">
            <v>20.69</v>
          </cell>
          <cell r="K2472">
            <v>50.3</v>
          </cell>
          <cell r="L2472" t="str">
            <v>合格</v>
          </cell>
          <cell r="M2472" t="str">
            <v>王丹丹/孙家孟</v>
          </cell>
          <cell r="N2472" t="str">
            <v>181128-1-85</v>
          </cell>
          <cell r="Q2472">
            <v>579</v>
          </cell>
        </row>
        <row r="2473">
          <cell r="E2473" t="str">
            <v>HFMET181123A2620-16-138</v>
          </cell>
          <cell r="F2473" t="str">
            <v>Meta 53，E04</v>
          </cell>
          <cell r="G2473">
            <v>20</v>
          </cell>
          <cell r="H2473" t="str">
            <v>小鼠肠道微生物</v>
          </cell>
          <cell r="I2473">
            <v>585</v>
          </cell>
          <cell r="J2473">
            <v>22.19</v>
          </cell>
          <cell r="K2473">
            <v>53.2</v>
          </cell>
          <cell r="L2473" t="str">
            <v>合格</v>
          </cell>
          <cell r="M2473" t="str">
            <v>王丹丹/孙家孟</v>
          </cell>
          <cell r="N2473" t="str">
            <v>181128-1-86</v>
          </cell>
          <cell r="Q2473">
            <v>585</v>
          </cell>
        </row>
        <row r="2474">
          <cell r="E2474" t="str">
            <v>HFMET181123A2621-17-138</v>
          </cell>
          <cell r="F2474" t="str">
            <v>Meta 53，E05</v>
          </cell>
          <cell r="G2474">
            <v>20</v>
          </cell>
          <cell r="H2474" t="str">
            <v>小鼠肠道微生物</v>
          </cell>
          <cell r="I2474">
            <v>570</v>
          </cell>
          <cell r="J2474">
            <v>29.91</v>
          </cell>
          <cell r="K2474">
            <v>72.89</v>
          </cell>
          <cell r="L2474" t="str">
            <v>合格</v>
          </cell>
          <cell r="M2474" t="str">
            <v>王丹丹/孙家孟</v>
          </cell>
          <cell r="N2474" t="str">
            <v>181128-1-87</v>
          </cell>
          <cell r="Q2474">
            <v>570</v>
          </cell>
        </row>
        <row r="2475">
          <cell r="E2475" t="str">
            <v>HFMET181123A2622-21-138</v>
          </cell>
          <cell r="F2475" t="str">
            <v>Meta 53，E06</v>
          </cell>
          <cell r="G2475">
            <v>20</v>
          </cell>
          <cell r="H2475" t="str">
            <v>小鼠肠道微生物</v>
          </cell>
          <cell r="I2475">
            <v>588</v>
          </cell>
          <cell r="J2475">
            <v>24.43</v>
          </cell>
          <cell r="K2475">
            <v>58.23</v>
          </cell>
          <cell r="L2475" t="str">
            <v>合格</v>
          </cell>
          <cell r="M2475" t="str">
            <v>王丹丹/孙家孟</v>
          </cell>
          <cell r="N2475" t="str">
            <v>181128-1-88</v>
          </cell>
          <cell r="Q2475">
            <v>588</v>
          </cell>
        </row>
        <row r="2476">
          <cell r="E2476" t="str">
            <v>HFMET181123A2623-27-138</v>
          </cell>
          <cell r="F2476" t="str">
            <v>Meta 53，E07</v>
          </cell>
          <cell r="G2476">
            <v>20</v>
          </cell>
          <cell r="H2476" t="str">
            <v>小鼠肠道微生物</v>
          </cell>
          <cell r="I2476">
            <v>582</v>
          </cell>
          <cell r="J2476">
            <v>21.44</v>
          </cell>
          <cell r="K2476">
            <v>51.38</v>
          </cell>
          <cell r="L2476" t="str">
            <v>合格</v>
          </cell>
          <cell r="M2476" t="str">
            <v>王丹丹/孙家孟</v>
          </cell>
          <cell r="N2476" t="str">
            <v>181128-1-89</v>
          </cell>
          <cell r="Q2476">
            <v>582</v>
          </cell>
        </row>
        <row r="2477">
          <cell r="E2477" t="str">
            <v>HFMET181123A2624-84-138</v>
          </cell>
          <cell r="F2477" t="str">
            <v>Meta 53，E08</v>
          </cell>
          <cell r="G2477">
            <v>20</v>
          </cell>
          <cell r="H2477" t="str">
            <v>小鼠肠道微生物</v>
          </cell>
          <cell r="I2477">
            <v>555</v>
          </cell>
          <cell r="J2477">
            <v>20.68</v>
          </cell>
          <cell r="K2477">
            <v>52.86</v>
          </cell>
          <cell r="L2477" t="str">
            <v>合格</v>
          </cell>
          <cell r="M2477" t="str">
            <v>王丹丹/孙家孟</v>
          </cell>
          <cell r="N2477" t="str">
            <v>181128-1-90</v>
          </cell>
          <cell r="Q2477">
            <v>555</v>
          </cell>
        </row>
        <row r="2478">
          <cell r="E2478" t="str">
            <v>HFMET181123A2625-85-138</v>
          </cell>
          <cell r="F2478" t="str">
            <v>Meta 53，E09</v>
          </cell>
          <cell r="G2478">
            <v>20</v>
          </cell>
          <cell r="H2478" t="str">
            <v>小鼠肠道微生物</v>
          </cell>
          <cell r="I2478">
            <v>572</v>
          </cell>
          <cell r="J2478">
            <v>28.69</v>
          </cell>
          <cell r="K2478">
            <v>70.87</v>
          </cell>
          <cell r="L2478" t="str">
            <v>合格</v>
          </cell>
          <cell r="M2478" t="str">
            <v>王丹丹/孙家孟</v>
          </cell>
          <cell r="N2478" t="str">
            <v>181128-1-91</v>
          </cell>
          <cell r="Q2478">
            <v>572</v>
          </cell>
        </row>
        <row r="2479">
          <cell r="E2479" t="str">
            <v>NTC-103-112</v>
          </cell>
          <cell r="F2479" t="str">
            <v>Meta 52，H12</v>
          </cell>
          <cell r="G2479">
            <v>20</v>
          </cell>
          <cell r="I2479" t="str">
            <v>无目的峰</v>
          </cell>
          <cell r="J2479">
            <v>0.15</v>
          </cell>
          <cell r="K2479" t="str">
            <v>0.35</v>
          </cell>
          <cell r="L2479" t="str">
            <v>合格</v>
          </cell>
          <cell r="M2479" t="str">
            <v>王丹丹/孙家孟</v>
          </cell>
          <cell r="N2479" t="str">
            <v>181128-3-94</v>
          </cell>
          <cell r="Q2479" t="str">
            <v>无目的峰</v>
          </cell>
        </row>
        <row r="2480">
          <cell r="E2480" t="str">
            <v>NTC-104-112</v>
          </cell>
          <cell r="F2480" t="str">
            <v>Meta 53，A01</v>
          </cell>
          <cell r="G2480">
            <v>20</v>
          </cell>
          <cell r="I2480" t="str">
            <v>无目的峰</v>
          </cell>
          <cell r="J2480">
            <v>0.08</v>
          </cell>
          <cell r="K2480" t="str">
            <v>0.20</v>
          </cell>
          <cell r="L2480" t="str">
            <v>合格</v>
          </cell>
          <cell r="M2480" t="str">
            <v>王丹丹/孙家孟</v>
          </cell>
          <cell r="N2480" t="str">
            <v>181128-3-95</v>
          </cell>
          <cell r="Q2480" t="str">
            <v>无目的峰</v>
          </cell>
        </row>
        <row r="2481">
          <cell r="E2481" t="str">
            <v>NTC-105-112</v>
          </cell>
          <cell r="F2481" t="str">
            <v>Meta 53，A02</v>
          </cell>
          <cell r="G2481">
            <v>20</v>
          </cell>
          <cell r="I2481" t="str">
            <v>无目的峰</v>
          </cell>
          <cell r="J2481">
            <v>0.04</v>
          </cell>
          <cell r="K2481" t="str">
            <v>0.10</v>
          </cell>
          <cell r="L2481" t="str">
            <v>合格</v>
          </cell>
          <cell r="M2481" t="str">
            <v>王丹丹/孙家孟</v>
          </cell>
          <cell r="N2481" t="str">
            <v>181128-3-96</v>
          </cell>
          <cell r="Q2481" t="str">
            <v>无目的峰</v>
          </cell>
        </row>
        <row r="2482">
          <cell r="E2482" t="str">
            <v>NTC-27-138</v>
          </cell>
          <cell r="F2482" t="str">
            <v>Meta 53，E10</v>
          </cell>
          <cell r="G2482">
            <v>20</v>
          </cell>
          <cell r="I2482" t="str">
            <v>无目的峰</v>
          </cell>
          <cell r="J2482">
            <v>0.05</v>
          </cell>
          <cell r="K2482" t="str">
            <v>0.11</v>
          </cell>
          <cell r="L2482" t="str">
            <v>合格</v>
          </cell>
          <cell r="M2482" t="str">
            <v>王丹丹/孙家孟</v>
          </cell>
          <cell r="N2482" t="str">
            <v>181128-1-92</v>
          </cell>
          <cell r="Q2482" t="str">
            <v>无目的峰</v>
          </cell>
        </row>
        <row r="2483">
          <cell r="E2483" t="str">
            <v>NTC-84-138</v>
          </cell>
          <cell r="F2483" t="str">
            <v>Meta 53，E11</v>
          </cell>
          <cell r="G2483">
            <v>20</v>
          </cell>
          <cell r="I2483" t="str">
            <v>无目的峰</v>
          </cell>
          <cell r="J2483">
            <v>0.1</v>
          </cell>
          <cell r="K2483" t="str">
            <v>0.24</v>
          </cell>
          <cell r="L2483" t="str">
            <v>合格</v>
          </cell>
          <cell r="M2483" t="str">
            <v>王丹丹/孙家孟</v>
          </cell>
          <cell r="N2483" t="str">
            <v>181128-1-93</v>
          </cell>
          <cell r="Q2483" t="str">
            <v>无目的峰</v>
          </cell>
        </row>
        <row r="2484">
          <cell r="E2484" t="str">
            <v>NTC-85-138</v>
          </cell>
          <cell r="F2484" t="str">
            <v>Meta 53，E12</v>
          </cell>
          <cell r="G2484">
            <v>20</v>
          </cell>
          <cell r="I2484" t="str">
            <v>无目的峰</v>
          </cell>
          <cell r="J2484">
            <v>0.08</v>
          </cell>
          <cell r="K2484" t="str">
            <v>0.19</v>
          </cell>
          <cell r="L2484" t="str">
            <v>合格</v>
          </cell>
          <cell r="M2484" t="str">
            <v>王丹丹/孙家孟</v>
          </cell>
          <cell r="N2484" t="str">
            <v>181128-1-94</v>
          </cell>
          <cell r="Q2484" t="str">
            <v>无目的峰</v>
          </cell>
        </row>
        <row r="2485">
          <cell r="E2485" t="str">
            <v>HFMET181122B2374-85-112</v>
          </cell>
          <cell r="F2485" t="str">
            <v>Meta 53，H07</v>
          </cell>
          <cell r="G2485">
            <v>20</v>
          </cell>
          <cell r="H2485" t="str">
            <v>阴道分泌物</v>
          </cell>
          <cell r="I2485">
            <v>634</v>
          </cell>
          <cell r="J2485">
            <v>0.77</v>
          </cell>
          <cell r="K2485" t="str">
            <v>1.83</v>
          </cell>
          <cell r="L2485" t="str">
            <v>不合格</v>
          </cell>
          <cell r="M2485" t="str">
            <v>王丹丹/孙家孟</v>
          </cell>
          <cell r="N2485" t="str">
            <v>181130-1-1</v>
          </cell>
          <cell r="Q2485">
            <v>634</v>
          </cell>
        </row>
        <row r="2486">
          <cell r="E2486" t="str">
            <v>HFMET181122B2378-17-113</v>
          </cell>
          <cell r="F2486" t="str">
            <v>Meta 53，H08</v>
          </cell>
          <cell r="G2486">
            <v>20</v>
          </cell>
          <cell r="H2486" t="str">
            <v>阴道分泌物</v>
          </cell>
          <cell r="I2486" t="str">
            <v>无目的峰</v>
          </cell>
          <cell r="L2486" t="str">
            <v>不合格</v>
          </cell>
          <cell r="M2486" t="str">
            <v>王丹丹/孙家孟</v>
          </cell>
          <cell r="N2486" t="str">
            <v>181130-1-2</v>
          </cell>
          <cell r="Q2486" t="str">
            <v>无目的峰</v>
          </cell>
        </row>
        <row r="2487">
          <cell r="E2487" t="str">
            <v>HFMET181122B2398-85-115</v>
          </cell>
          <cell r="F2487" t="str">
            <v>Meta 53，H09</v>
          </cell>
          <cell r="G2487">
            <v>20</v>
          </cell>
          <cell r="H2487" t="str">
            <v>阴道分泌物</v>
          </cell>
          <cell r="I2487">
            <v>635</v>
          </cell>
          <cell r="J2487">
            <v>0.28000000000000003</v>
          </cell>
          <cell r="K2487" t="str">
            <v>0.67</v>
          </cell>
          <cell r="L2487" t="str">
            <v>不合格</v>
          </cell>
          <cell r="M2487" t="str">
            <v>王丹丹/孙家孟</v>
          </cell>
          <cell r="N2487" t="str">
            <v>181130-1-3</v>
          </cell>
          <cell r="Q2487">
            <v>635</v>
          </cell>
        </row>
        <row r="2488">
          <cell r="E2488" t="str">
            <v>HFMET181122B2399-86-115</v>
          </cell>
          <cell r="F2488" t="str">
            <v>Meta 53，H10</v>
          </cell>
          <cell r="G2488">
            <v>20</v>
          </cell>
          <cell r="H2488" t="str">
            <v>阴道分泌物</v>
          </cell>
          <cell r="I2488">
            <v>690</v>
          </cell>
          <cell r="J2488">
            <v>0.42</v>
          </cell>
          <cell r="K2488" t="str">
            <v>0.95</v>
          </cell>
          <cell r="L2488" t="str">
            <v>不合格</v>
          </cell>
          <cell r="M2488" t="str">
            <v>王丹丹/孙家孟</v>
          </cell>
          <cell r="N2488" t="str">
            <v>181130-1-4</v>
          </cell>
          <cell r="Q2488">
            <v>690</v>
          </cell>
        </row>
        <row r="2489">
          <cell r="E2489" t="str">
            <v>HFMET181122B2416-1-118</v>
          </cell>
          <cell r="F2489" t="str">
            <v>Meta 53，H11</v>
          </cell>
          <cell r="G2489">
            <v>20</v>
          </cell>
          <cell r="H2489" t="str">
            <v>阴道分泌物</v>
          </cell>
          <cell r="I2489">
            <v>655</v>
          </cell>
          <cell r="J2489">
            <v>0.13</v>
          </cell>
          <cell r="K2489" t="str">
            <v>0.31</v>
          </cell>
          <cell r="L2489" t="str">
            <v>不合格</v>
          </cell>
          <cell r="M2489" t="str">
            <v>王丹丹/孙家孟</v>
          </cell>
          <cell r="N2489" t="str">
            <v>181130-1-5</v>
          </cell>
          <cell r="Q2489">
            <v>655</v>
          </cell>
        </row>
        <row r="2490">
          <cell r="E2490" t="str">
            <v>HFMET181122B2418-17-118</v>
          </cell>
          <cell r="F2490" t="str">
            <v>Meta 53，H12</v>
          </cell>
          <cell r="G2490">
            <v>20</v>
          </cell>
          <cell r="H2490" t="str">
            <v>阴道分泌物</v>
          </cell>
          <cell r="I2490">
            <v>657</v>
          </cell>
          <cell r="J2490">
            <v>0.61</v>
          </cell>
          <cell r="K2490" t="str">
            <v>1.42</v>
          </cell>
          <cell r="L2490" t="str">
            <v>不合格</v>
          </cell>
          <cell r="M2490" t="str">
            <v>王丹丹/孙家孟</v>
          </cell>
          <cell r="N2490" t="str">
            <v>181130-1-6</v>
          </cell>
          <cell r="Q2490">
            <v>657</v>
          </cell>
        </row>
        <row r="2491">
          <cell r="E2491" t="str">
            <v>HFMET181122B2420-27-118</v>
          </cell>
          <cell r="F2491" t="str">
            <v>Meta 54，A01</v>
          </cell>
          <cell r="G2491">
            <v>20</v>
          </cell>
          <cell r="H2491" t="str">
            <v>阴道分泌物</v>
          </cell>
          <cell r="I2491" t="str">
            <v>无目的峰</v>
          </cell>
          <cell r="L2491" t="str">
            <v>不合格</v>
          </cell>
          <cell r="M2491" t="str">
            <v>王丹丹/孙家孟</v>
          </cell>
          <cell r="N2491" t="str">
            <v>181130-1-7</v>
          </cell>
          <cell r="Q2491" t="str">
            <v>无目的峰</v>
          </cell>
        </row>
        <row r="2492">
          <cell r="E2492" t="str">
            <v>HFMET181122B2421-84-118</v>
          </cell>
          <cell r="F2492" t="str">
            <v>Meta 54，A02</v>
          </cell>
          <cell r="G2492">
            <v>20</v>
          </cell>
          <cell r="H2492" t="str">
            <v>阴道分泌物</v>
          </cell>
          <cell r="I2492" t="str">
            <v>无目的峰</v>
          </cell>
          <cell r="L2492" t="str">
            <v>不合格</v>
          </cell>
          <cell r="M2492" t="str">
            <v>王丹丹/孙家孟</v>
          </cell>
          <cell r="N2492" t="str">
            <v>181130-1-8</v>
          </cell>
          <cell r="Q2492" t="str">
            <v>无目的峰</v>
          </cell>
        </row>
        <row r="2493">
          <cell r="E2493" t="str">
            <v>HFMET181122B2439-86-120</v>
          </cell>
          <cell r="F2493" t="str">
            <v>Meta 54，A03</v>
          </cell>
          <cell r="G2493">
            <v>20</v>
          </cell>
          <cell r="H2493" t="str">
            <v>阴道分泌物</v>
          </cell>
          <cell r="I2493">
            <v>685</v>
          </cell>
          <cell r="J2493">
            <v>0.48</v>
          </cell>
          <cell r="K2493" t="str">
            <v>1.13</v>
          </cell>
          <cell r="L2493" t="str">
            <v>不合格</v>
          </cell>
          <cell r="M2493" t="str">
            <v>王丹丹/孙家孟</v>
          </cell>
          <cell r="N2493" t="str">
            <v>181130-1-9</v>
          </cell>
          <cell r="Q2493">
            <v>685</v>
          </cell>
        </row>
        <row r="2494">
          <cell r="E2494" t="str">
            <v>HFMET181122B2467-21-130</v>
          </cell>
          <cell r="F2494" t="str">
            <v>Meta 54，A04</v>
          </cell>
          <cell r="G2494">
            <v>20</v>
          </cell>
          <cell r="H2494" t="str">
            <v>阴道分泌物</v>
          </cell>
          <cell r="I2494">
            <v>632</v>
          </cell>
          <cell r="J2494">
            <v>0.41</v>
          </cell>
          <cell r="K2494" t="str">
            <v>0.98</v>
          </cell>
          <cell r="L2494" t="str">
            <v>不合格</v>
          </cell>
          <cell r="M2494" t="str">
            <v>王丹丹/孙家孟</v>
          </cell>
          <cell r="N2494" t="str">
            <v>181130-1-10</v>
          </cell>
          <cell r="Q2494">
            <v>632</v>
          </cell>
        </row>
        <row r="2495">
          <cell r="E2495" t="str">
            <v>HFMET181123B2487-102-117</v>
          </cell>
          <cell r="F2495" t="str">
            <v>Meta 54，A05</v>
          </cell>
          <cell r="G2495">
            <v>20</v>
          </cell>
          <cell r="H2495" t="str">
            <v>鸭肠道微生物</v>
          </cell>
          <cell r="I2495">
            <v>659</v>
          </cell>
          <cell r="J2495">
            <v>0.54</v>
          </cell>
          <cell r="K2495">
            <v>1.26</v>
          </cell>
          <cell r="L2495" t="str">
            <v>不合格</v>
          </cell>
          <cell r="M2495" t="str">
            <v>王丹丹/孙家孟</v>
          </cell>
          <cell r="N2495" t="str">
            <v>181130-1-11</v>
          </cell>
          <cell r="Q2495">
            <v>659</v>
          </cell>
        </row>
        <row r="2496">
          <cell r="E2496" t="str">
            <v>HFMET181123B2504-103-121</v>
          </cell>
          <cell r="F2496" t="str">
            <v>Meta 54，A06</v>
          </cell>
          <cell r="G2496">
            <v>20</v>
          </cell>
          <cell r="H2496" t="str">
            <v>鸭肠道微生物</v>
          </cell>
          <cell r="I2496">
            <v>621</v>
          </cell>
          <cell r="J2496">
            <v>7.8</v>
          </cell>
          <cell r="K2496">
            <v>18.34</v>
          </cell>
          <cell r="L2496" t="str">
            <v>合格</v>
          </cell>
          <cell r="M2496" t="str">
            <v>王丹丹/孙家孟</v>
          </cell>
          <cell r="N2496" t="str">
            <v>181130-1-12</v>
          </cell>
          <cell r="Q2496">
            <v>621</v>
          </cell>
        </row>
        <row r="2497">
          <cell r="E2497" t="str">
            <v>HFMET181123B2508-107-121</v>
          </cell>
          <cell r="F2497" t="str">
            <v>Meta 54，A07</v>
          </cell>
          <cell r="G2497">
            <v>20</v>
          </cell>
          <cell r="H2497" t="str">
            <v>鸭肠道微生物</v>
          </cell>
          <cell r="I2497">
            <v>664</v>
          </cell>
          <cell r="J2497">
            <v>5.65</v>
          </cell>
          <cell r="K2497">
            <v>12.86</v>
          </cell>
          <cell r="L2497" t="str">
            <v>合格</v>
          </cell>
          <cell r="M2497" t="str">
            <v>王丹丹/孙家孟</v>
          </cell>
          <cell r="N2497" t="str">
            <v>181130-1-13</v>
          </cell>
          <cell r="Q2497">
            <v>664</v>
          </cell>
        </row>
        <row r="2498">
          <cell r="E2498" t="str">
            <v>HFMET181123B2510-101-127</v>
          </cell>
          <cell r="F2498" t="str">
            <v>Meta 54，A08</v>
          </cell>
          <cell r="G2498">
            <v>20</v>
          </cell>
          <cell r="H2498" t="str">
            <v>鸭肠道微生物</v>
          </cell>
          <cell r="I2498">
            <v>512</v>
          </cell>
          <cell r="J2498">
            <v>45.3</v>
          </cell>
          <cell r="K2498">
            <v>120.56</v>
          </cell>
          <cell r="L2498" t="str">
            <v>合格</v>
          </cell>
          <cell r="M2498" t="str">
            <v>王丹丹/孙家孟</v>
          </cell>
          <cell r="N2498" t="str">
            <v>181130-1-14</v>
          </cell>
          <cell r="Q2498">
            <v>512</v>
          </cell>
        </row>
        <row r="2499">
          <cell r="E2499" t="str">
            <v>HFMET181123B2515-106-127</v>
          </cell>
          <cell r="F2499" t="str">
            <v>Meta 54，A09</v>
          </cell>
          <cell r="G2499">
            <v>20</v>
          </cell>
          <cell r="H2499" t="str">
            <v>鸭肠道微生物</v>
          </cell>
          <cell r="I2499">
            <v>559</v>
          </cell>
          <cell r="J2499">
            <v>8.0399999999999991</v>
          </cell>
          <cell r="K2499">
            <v>20.57</v>
          </cell>
          <cell r="L2499" t="str">
            <v>合格</v>
          </cell>
          <cell r="M2499" t="str">
            <v>王丹丹/孙家孟</v>
          </cell>
          <cell r="N2499" t="str">
            <v>181130-1-15</v>
          </cell>
          <cell r="Q2499">
            <v>559</v>
          </cell>
        </row>
        <row r="2500">
          <cell r="E2500" t="str">
            <v>HFMET181123B2539-106-134</v>
          </cell>
          <cell r="F2500" t="str">
            <v>Meta 54，A10</v>
          </cell>
          <cell r="G2500">
            <v>20</v>
          </cell>
          <cell r="H2500" t="str">
            <v>鸭肠道微生物</v>
          </cell>
          <cell r="I2500">
            <v>559</v>
          </cell>
          <cell r="J2500">
            <v>13.03</v>
          </cell>
          <cell r="K2500">
            <v>33.28</v>
          </cell>
          <cell r="L2500" t="str">
            <v>合格</v>
          </cell>
          <cell r="M2500" t="str">
            <v>王丹丹/孙家孟</v>
          </cell>
          <cell r="N2500" t="str">
            <v>181130-1-16</v>
          </cell>
          <cell r="Q2500">
            <v>559</v>
          </cell>
        </row>
        <row r="2501">
          <cell r="E2501" t="str">
            <v>HFMET181123B2543-102-135</v>
          </cell>
          <cell r="F2501" t="str">
            <v>Meta 54，A11</v>
          </cell>
          <cell r="G2501">
            <v>20</v>
          </cell>
          <cell r="H2501" t="str">
            <v>鸭肠道微生物</v>
          </cell>
          <cell r="I2501">
            <v>627</v>
          </cell>
          <cell r="J2501">
            <v>7.72</v>
          </cell>
          <cell r="K2501">
            <v>18.3</v>
          </cell>
          <cell r="L2501" t="str">
            <v>合格</v>
          </cell>
          <cell r="M2501" t="str">
            <v>王丹丹/孙家孟</v>
          </cell>
          <cell r="N2501" t="str">
            <v>181130-1-17</v>
          </cell>
          <cell r="Q2501">
            <v>627</v>
          </cell>
        </row>
        <row r="2502">
          <cell r="E2502" t="str">
            <v>HFMET181123B2554-105-136</v>
          </cell>
          <cell r="F2502" t="str">
            <v>Meta 54，A12</v>
          </cell>
          <cell r="G2502">
            <v>20</v>
          </cell>
          <cell r="H2502" t="str">
            <v>鸭肠道微生物</v>
          </cell>
          <cell r="I2502">
            <v>556</v>
          </cell>
          <cell r="J2502">
            <v>12.71</v>
          </cell>
          <cell r="K2502">
            <v>32.479999999999997</v>
          </cell>
          <cell r="L2502" t="str">
            <v>合格</v>
          </cell>
          <cell r="M2502" t="str">
            <v>王丹丹/孙家孟</v>
          </cell>
          <cell r="N2502" t="str">
            <v>181130-1-18</v>
          </cell>
          <cell r="Q2502">
            <v>556</v>
          </cell>
        </row>
        <row r="2503">
          <cell r="E2503" t="str">
            <v>HFMET181123B2574-21-132</v>
          </cell>
          <cell r="F2503" t="str">
            <v>Meta 54，B01</v>
          </cell>
          <cell r="G2503">
            <v>20</v>
          </cell>
          <cell r="H2503" t="str">
            <v>鸭肠道微生物</v>
          </cell>
          <cell r="I2503">
            <v>588</v>
          </cell>
          <cell r="J2503">
            <v>13.39</v>
          </cell>
          <cell r="K2503">
            <v>33.049999999999997</v>
          </cell>
          <cell r="L2503" t="str">
            <v>合格</v>
          </cell>
          <cell r="M2503" t="str">
            <v>王丹丹/孙家孟</v>
          </cell>
          <cell r="N2503" t="str">
            <v>181130-1-19</v>
          </cell>
          <cell r="Q2503">
            <v>588</v>
          </cell>
        </row>
        <row r="2504">
          <cell r="E2504" t="str">
            <v>HFMET181123B2580-16-133</v>
          </cell>
          <cell r="F2504" t="str">
            <v>Meta 54，B02</v>
          </cell>
          <cell r="G2504">
            <v>20</v>
          </cell>
          <cell r="H2504" t="str">
            <v>小鼠肠道微生物</v>
          </cell>
          <cell r="I2504">
            <v>588</v>
          </cell>
          <cell r="J2504">
            <v>13.08</v>
          </cell>
          <cell r="K2504">
            <v>32.44</v>
          </cell>
          <cell r="L2504" t="str">
            <v>合格</v>
          </cell>
          <cell r="M2504" t="str">
            <v>王丹丹/孙家孟</v>
          </cell>
          <cell r="N2504" t="str">
            <v>181130-1-20</v>
          </cell>
          <cell r="Q2504">
            <v>588</v>
          </cell>
        </row>
        <row r="2505">
          <cell r="E2505" t="str">
            <v>HFMET181123B2588-16-134</v>
          </cell>
          <cell r="F2505" t="str">
            <v>Meta 54，B03</v>
          </cell>
          <cell r="G2505">
            <v>20</v>
          </cell>
          <cell r="H2505" t="str">
            <v>小鼠肠道微生物</v>
          </cell>
          <cell r="I2505">
            <v>574</v>
          </cell>
          <cell r="J2505">
            <v>6.59</v>
          </cell>
          <cell r="K2505">
            <v>16.79</v>
          </cell>
          <cell r="L2505" t="str">
            <v>合格</v>
          </cell>
          <cell r="M2505" t="str">
            <v>王丹丹/孙家孟</v>
          </cell>
          <cell r="N2505" t="str">
            <v>181130-1-21</v>
          </cell>
          <cell r="Q2505">
            <v>574</v>
          </cell>
        </row>
        <row r="2506">
          <cell r="E2506" t="str">
            <v>HFMET181123B2598-21-135</v>
          </cell>
          <cell r="F2506" t="str">
            <v>Meta 54，B04</v>
          </cell>
          <cell r="G2506">
            <v>20</v>
          </cell>
          <cell r="H2506" t="str">
            <v>小鼠肠道微生物</v>
          </cell>
          <cell r="I2506">
            <v>589</v>
          </cell>
          <cell r="J2506">
            <v>4.99</v>
          </cell>
          <cell r="K2506">
            <v>12.43</v>
          </cell>
          <cell r="L2506" t="str">
            <v>合格</v>
          </cell>
          <cell r="M2506" t="str">
            <v>王丹丹/孙家孟</v>
          </cell>
          <cell r="N2506" t="str">
            <v>181130-1-22</v>
          </cell>
          <cell r="Q2506">
            <v>589</v>
          </cell>
        </row>
        <row r="2507">
          <cell r="E2507" t="str">
            <v>NTC1-86-120</v>
          </cell>
          <cell r="F2507" t="str">
            <v>Meta 54，B05</v>
          </cell>
          <cell r="G2507">
            <v>20</v>
          </cell>
          <cell r="I2507" t="str">
            <v>无目的峰</v>
          </cell>
          <cell r="J2507">
            <v>6.4199999999999993E-2</v>
          </cell>
          <cell r="K2507">
            <v>0.18168599999999999</v>
          </cell>
          <cell r="L2507" t="str">
            <v>合格</v>
          </cell>
          <cell r="M2507" t="str">
            <v>王丹丹/孙家孟</v>
          </cell>
          <cell r="N2507" t="str">
            <v>181130-1-23</v>
          </cell>
          <cell r="Q2507" t="str">
            <v>无目的峰</v>
          </cell>
        </row>
        <row r="2508">
          <cell r="E2508" t="str">
            <v>NTC2-21-130</v>
          </cell>
          <cell r="F2508" t="str">
            <v>Meta 54，B06</v>
          </cell>
          <cell r="G2508">
            <v>20</v>
          </cell>
          <cell r="I2508" t="str">
            <v>无目的峰</v>
          </cell>
          <cell r="J2508" t="str">
            <v>0.03</v>
          </cell>
          <cell r="K2508">
            <v>8.4900000000000003E-2</v>
          </cell>
          <cell r="L2508" t="str">
            <v>合格</v>
          </cell>
          <cell r="M2508" t="str">
            <v>王丹丹/孙家孟</v>
          </cell>
          <cell r="N2508" t="str">
            <v>181130-1-24</v>
          </cell>
          <cell r="Q2508" t="str">
            <v>无目的峰</v>
          </cell>
        </row>
        <row r="2509">
          <cell r="E2509" t="str">
            <v>HFMET181122B2332-64-76</v>
          </cell>
          <cell r="F2509" t="str">
            <v>Meta 54，B07</v>
          </cell>
          <cell r="G2509">
            <v>20</v>
          </cell>
          <cell r="H2509" t="str">
            <v>土壤</v>
          </cell>
          <cell r="I2509" t="str">
            <v>381/329/443</v>
          </cell>
          <cell r="J2509">
            <v>13.92</v>
          </cell>
          <cell r="K2509">
            <v>57.32</v>
          </cell>
          <cell r="L2509" t="str">
            <v>合格</v>
          </cell>
          <cell r="M2509" t="str">
            <v>王丹丹/孙家孟</v>
          </cell>
          <cell r="N2509" t="str">
            <v>181130-1-25</v>
          </cell>
          <cell r="Q2509" t="str">
            <v>381/329/443</v>
          </cell>
        </row>
        <row r="2510">
          <cell r="E2510" t="str">
            <v>HFMET181122B2334-66-76</v>
          </cell>
          <cell r="F2510" t="str">
            <v>Meta 54，B08</v>
          </cell>
          <cell r="G2510">
            <v>20</v>
          </cell>
          <cell r="H2510" t="str">
            <v>土壤</v>
          </cell>
          <cell r="I2510" t="str">
            <v>381/330</v>
          </cell>
          <cell r="J2510">
            <v>4.5</v>
          </cell>
          <cell r="K2510">
            <v>18.22</v>
          </cell>
          <cell r="L2510" t="str">
            <v>合格</v>
          </cell>
          <cell r="M2510" t="str">
            <v>王丹丹/孙家孟</v>
          </cell>
          <cell r="N2510" t="str">
            <v>181130-1-26</v>
          </cell>
          <cell r="Q2510" t="str">
            <v>381/330</v>
          </cell>
        </row>
        <row r="2511">
          <cell r="E2511" t="str">
            <v>HFMET181126B2647-61-81</v>
          </cell>
          <cell r="F2511" t="str">
            <v>Meta 54，B09</v>
          </cell>
          <cell r="G2511">
            <v>20</v>
          </cell>
          <cell r="H2511" t="str">
            <v>土壤</v>
          </cell>
          <cell r="I2511" t="str">
            <v>无目的峰</v>
          </cell>
          <cell r="J2511">
            <v>0.33</v>
          </cell>
          <cell r="K2511">
            <v>1.41</v>
          </cell>
          <cell r="L2511" t="str">
            <v>不合格</v>
          </cell>
          <cell r="M2511" t="str">
            <v>王丹丹/孙家孟</v>
          </cell>
          <cell r="N2511" t="str">
            <v>181130-1-27</v>
          </cell>
          <cell r="Q2511" t="str">
            <v>无目的峰</v>
          </cell>
        </row>
        <row r="2512">
          <cell r="E2512" t="str">
            <v>HFMET181126B2648-62-81</v>
          </cell>
          <cell r="F2512" t="str">
            <v>Meta 54，B10</v>
          </cell>
          <cell r="G2512">
            <v>20</v>
          </cell>
          <cell r="H2512" t="str">
            <v>土壤</v>
          </cell>
          <cell r="I2512">
            <v>317</v>
          </cell>
          <cell r="J2512">
            <v>0.97</v>
          </cell>
          <cell r="K2512">
            <v>4.32</v>
          </cell>
          <cell r="L2512" t="str">
            <v>不合格</v>
          </cell>
          <cell r="M2512" t="str">
            <v>王丹丹/孙家孟</v>
          </cell>
          <cell r="N2512" t="str">
            <v>181130-1-28</v>
          </cell>
          <cell r="Q2512">
            <v>317</v>
          </cell>
        </row>
        <row r="2513">
          <cell r="E2513" t="str">
            <v>HFMET181126B2650-64-81</v>
          </cell>
          <cell r="F2513" t="str">
            <v>Meta 54，B11</v>
          </cell>
          <cell r="G2513">
            <v>20</v>
          </cell>
          <cell r="H2513" t="str">
            <v>土壤</v>
          </cell>
          <cell r="I2513" t="str">
            <v>无目的峰</v>
          </cell>
          <cell r="J2513">
            <v>0.05</v>
          </cell>
          <cell r="K2513">
            <v>0.22</v>
          </cell>
          <cell r="L2513" t="str">
            <v>不合格</v>
          </cell>
          <cell r="M2513" t="str">
            <v>王丹丹/孙家孟</v>
          </cell>
          <cell r="N2513" t="str">
            <v>181130-1-29</v>
          </cell>
          <cell r="Q2513" t="str">
            <v>无目的峰</v>
          </cell>
        </row>
        <row r="2514">
          <cell r="E2514" t="str">
            <v>NTC3-66-76</v>
          </cell>
          <cell r="F2514" t="str">
            <v>Meta 54，B12</v>
          </cell>
          <cell r="G2514">
            <v>20</v>
          </cell>
          <cell r="I2514" t="str">
            <v>无目的峰</v>
          </cell>
          <cell r="J2514">
            <v>0.05</v>
          </cell>
          <cell r="K2514">
            <v>0.14149999999999999</v>
          </cell>
          <cell r="L2514" t="str">
            <v>合格</v>
          </cell>
          <cell r="M2514" t="str">
            <v>王丹丹/孙家孟</v>
          </cell>
          <cell r="N2514" t="str">
            <v>181130-1-30</v>
          </cell>
          <cell r="Q2514" t="str">
            <v>无目的峰</v>
          </cell>
        </row>
        <row r="2515">
          <cell r="E2515" t="str">
            <v>NTC4-64-81</v>
          </cell>
          <cell r="F2515" t="str">
            <v>Meta 54，C01</v>
          </cell>
          <cell r="G2515">
            <v>20</v>
          </cell>
          <cell r="I2515" t="str">
            <v>无目的峰</v>
          </cell>
          <cell r="J2515">
            <v>4.6899999999999997E-2</v>
          </cell>
          <cell r="K2515">
            <v>0.13272700000000001</v>
          </cell>
          <cell r="L2515" t="str">
            <v>合格</v>
          </cell>
          <cell r="M2515" t="str">
            <v>王丹丹/孙家孟</v>
          </cell>
          <cell r="N2515" t="str">
            <v>181130-1-31</v>
          </cell>
          <cell r="Q2515" t="str">
            <v>无目的峰</v>
          </cell>
        </row>
        <row r="2516">
          <cell r="E2516" t="str">
            <v>HFMET181123A2646-59-82</v>
          </cell>
          <cell r="F2516" t="str">
            <v>Meta 54，C02</v>
          </cell>
          <cell r="G2516">
            <v>20</v>
          </cell>
          <cell r="H2516" t="str">
            <v>细菌，真菌</v>
          </cell>
          <cell r="I2516" t="str">
            <v>396/348</v>
          </cell>
          <cell r="J2516">
            <v>29.23</v>
          </cell>
          <cell r="K2516" t="str">
            <v>119.53</v>
          </cell>
          <cell r="L2516" t="str">
            <v>合格</v>
          </cell>
          <cell r="M2516" t="str">
            <v>王丹丹/孙家孟</v>
          </cell>
          <cell r="N2516" t="str">
            <v>181130-1-32</v>
          </cell>
          <cell r="Q2516" t="str">
            <v>396/348</v>
          </cell>
        </row>
        <row r="2517">
          <cell r="E2517" t="str">
            <v>HFMET181123A2647-60-82</v>
          </cell>
          <cell r="F2517" t="str">
            <v>Meta 54，C03</v>
          </cell>
          <cell r="G2517">
            <v>20</v>
          </cell>
          <cell r="H2517" t="str">
            <v>细菌，真菌</v>
          </cell>
          <cell r="I2517" t="str">
            <v>397/351</v>
          </cell>
          <cell r="J2517">
            <v>30.58</v>
          </cell>
          <cell r="K2517" t="str">
            <v>123.95</v>
          </cell>
          <cell r="L2517" t="str">
            <v>合格</v>
          </cell>
          <cell r="M2517" t="str">
            <v>王丹丹/孙家孟</v>
          </cell>
          <cell r="N2517" t="str">
            <v>181130-1-33</v>
          </cell>
          <cell r="Q2517" t="str">
            <v>397/351</v>
          </cell>
        </row>
        <row r="2518">
          <cell r="E2518" t="str">
            <v>HFMET181123A2648-61-82</v>
          </cell>
          <cell r="F2518" t="str">
            <v>Meta 54，C04</v>
          </cell>
          <cell r="G2518">
            <v>20</v>
          </cell>
          <cell r="H2518" t="str">
            <v>细菌，真菌</v>
          </cell>
          <cell r="I2518" t="str">
            <v>397/353</v>
          </cell>
          <cell r="J2518">
            <v>29.14</v>
          </cell>
          <cell r="K2518" t="str">
            <v>116.92</v>
          </cell>
          <cell r="L2518" t="str">
            <v>合格</v>
          </cell>
          <cell r="M2518" t="str">
            <v>王丹丹/孙家孟</v>
          </cell>
          <cell r="N2518" t="str">
            <v>181130-1-34</v>
          </cell>
          <cell r="Q2518" t="str">
            <v>397/353</v>
          </cell>
        </row>
        <row r="2519">
          <cell r="E2519" t="str">
            <v>NTC1-61-82</v>
          </cell>
          <cell r="F2519" t="str">
            <v>Meta 54，C05</v>
          </cell>
          <cell r="G2519">
            <v>20</v>
          </cell>
          <cell r="I2519" t="str">
            <v>无目的峰</v>
          </cell>
          <cell r="J2519">
            <v>6.2300000000000001E-2</v>
          </cell>
          <cell r="K2519">
            <v>0.17630899999999999</v>
          </cell>
          <cell r="L2519" t="str">
            <v>合格</v>
          </cell>
          <cell r="M2519" t="str">
            <v>王丹丹/孙家孟</v>
          </cell>
          <cell r="N2519" t="str">
            <v>181130-1-35</v>
          </cell>
          <cell r="Q2519" t="str">
            <v>无目的峰</v>
          </cell>
        </row>
        <row r="2520">
          <cell r="E2520" t="str">
            <v>HFMET181123A2649-87-113</v>
          </cell>
          <cell r="F2520" t="str">
            <v>Meta 54，C06</v>
          </cell>
          <cell r="G2520">
            <v>20</v>
          </cell>
          <cell r="H2520" t="str">
            <v>细菌，真菌</v>
          </cell>
          <cell r="I2520">
            <v>579</v>
          </cell>
          <cell r="J2520">
            <v>21.33</v>
          </cell>
          <cell r="K2520" t="str">
            <v>51.62</v>
          </cell>
          <cell r="L2520" t="str">
            <v>合格</v>
          </cell>
          <cell r="M2520" t="str">
            <v>王丹丹/孙家孟</v>
          </cell>
          <cell r="N2520" t="str">
            <v>181130-1-36</v>
          </cell>
          <cell r="Q2520">
            <v>579</v>
          </cell>
        </row>
        <row r="2521">
          <cell r="E2521" t="str">
            <v>HFMET181123A2650-88-113</v>
          </cell>
          <cell r="F2521" t="str">
            <v>Meta 54，C07</v>
          </cell>
          <cell r="G2521">
            <v>20</v>
          </cell>
          <cell r="H2521" t="str">
            <v>细菌，真菌</v>
          </cell>
          <cell r="I2521">
            <v>584</v>
          </cell>
          <cell r="J2521">
            <v>18.59</v>
          </cell>
          <cell r="K2521" t="str">
            <v>44.68</v>
          </cell>
          <cell r="L2521" t="str">
            <v>合格</v>
          </cell>
          <cell r="M2521" t="str">
            <v>王丹丹/孙家孟</v>
          </cell>
          <cell r="N2521" t="str">
            <v>181130-1-37</v>
          </cell>
          <cell r="Q2521">
            <v>584</v>
          </cell>
        </row>
        <row r="2522">
          <cell r="E2522" t="str">
            <v>HFMET181123A2651-89-113</v>
          </cell>
          <cell r="F2522" t="str">
            <v>Meta 54，C08</v>
          </cell>
          <cell r="G2522">
            <v>20</v>
          </cell>
          <cell r="H2522" t="str">
            <v>细菌，真菌</v>
          </cell>
          <cell r="I2522">
            <v>578</v>
          </cell>
          <cell r="J2522">
            <v>21.3</v>
          </cell>
          <cell r="K2522" t="str">
            <v>51.52</v>
          </cell>
          <cell r="L2522" t="str">
            <v>合格</v>
          </cell>
          <cell r="M2522" t="str">
            <v>王丹丹/孙家孟</v>
          </cell>
          <cell r="N2522" t="str">
            <v>181130-1-38</v>
          </cell>
          <cell r="Q2522">
            <v>578</v>
          </cell>
        </row>
        <row r="2523">
          <cell r="E2523" t="str">
            <v>HFMET181123A2652-90-113</v>
          </cell>
          <cell r="F2523" t="str">
            <v>Meta 54，C09</v>
          </cell>
          <cell r="G2523">
            <v>20</v>
          </cell>
          <cell r="H2523" t="str">
            <v>羊瘤胃食糜</v>
          </cell>
          <cell r="I2523">
            <v>583</v>
          </cell>
          <cell r="J2523">
            <v>6.18</v>
          </cell>
          <cell r="K2523">
            <v>15.1</v>
          </cell>
          <cell r="L2523" t="str">
            <v>合格</v>
          </cell>
          <cell r="M2523" t="str">
            <v>王丹丹/孙家孟</v>
          </cell>
          <cell r="N2523" t="str">
            <v>181130-1-39</v>
          </cell>
          <cell r="Q2523">
            <v>583</v>
          </cell>
        </row>
        <row r="2524">
          <cell r="E2524" t="str">
            <v>HFMET181123A2653-91-113</v>
          </cell>
          <cell r="F2524" t="str">
            <v>Meta 54，C10</v>
          </cell>
          <cell r="G2524">
            <v>20</v>
          </cell>
          <cell r="H2524" t="str">
            <v>羊瘤胃食糜</v>
          </cell>
          <cell r="I2524">
            <v>565</v>
          </cell>
          <cell r="J2524">
            <v>12.38</v>
          </cell>
          <cell r="K2524">
            <v>31.08</v>
          </cell>
          <cell r="L2524" t="str">
            <v>合格</v>
          </cell>
          <cell r="M2524" t="str">
            <v>王丹丹/孙家孟</v>
          </cell>
          <cell r="N2524" t="str">
            <v>181130-1-40</v>
          </cell>
          <cell r="Q2524">
            <v>565</v>
          </cell>
        </row>
        <row r="2525">
          <cell r="E2525" t="str">
            <v>HFMET181123A2654-92-113</v>
          </cell>
          <cell r="F2525" t="str">
            <v>Meta 54，C11</v>
          </cell>
          <cell r="G2525">
            <v>20</v>
          </cell>
          <cell r="H2525" t="str">
            <v>土壤微生物</v>
          </cell>
          <cell r="I2525">
            <v>574</v>
          </cell>
          <cell r="J2525">
            <v>10.87</v>
          </cell>
          <cell r="K2525">
            <v>27.3</v>
          </cell>
          <cell r="L2525" t="str">
            <v>合格</v>
          </cell>
          <cell r="M2525" t="str">
            <v>王丹丹/孙家孟</v>
          </cell>
          <cell r="N2525" t="str">
            <v>181130-1-41</v>
          </cell>
          <cell r="Q2525">
            <v>574</v>
          </cell>
        </row>
        <row r="2526">
          <cell r="E2526" t="str">
            <v>HFMET181123A2655-87-114</v>
          </cell>
          <cell r="F2526" t="str">
            <v>Meta 54，C12</v>
          </cell>
          <cell r="G2526">
            <v>20</v>
          </cell>
          <cell r="H2526" t="str">
            <v>土壤微生物</v>
          </cell>
          <cell r="I2526">
            <v>582</v>
          </cell>
          <cell r="J2526">
            <v>12.07</v>
          </cell>
          <cell r="K2526">
            <v>29.31</v>
          </cell>
          <cell r="L2526" t="str">
            <v>合格</v>
          </cell>
          <cell r="M2526" t="str">
            <v>王丹丹/孙家孟</v>
          </cell>
          <cell r="N2526" t="str">
            <v>181130-1-42</v>
          </cell>
          <cell r="Q2526">
            <v>582</v>
          </cell>
        </row>
        <row r="2527">
          <cell r="E2527" t="str">
            <v>HFMET181123A2656-88-114</v>
          </cell>
          <cell r="F2527" t="str">
            <v>Meta 54，D01</v>
          </cell>
          <cell r="G2527">
            <v>20</v>
          </cell>
          <cell r="H2527" t="str">
            <v>土壤微生物</v>
          </cell>
          <cell r="I2527">
            <v>597</v>
          </cell>
          <cell r="J2527">
            <v>9.59</v>
          </cell>
          <cell r="K2527">
            <v>22.78</v>
          </cell>
          <cell r="L2527" t="str">
            <v>合格</v>
          </cell>
          <cell r="M2527" t="str">
            <v>王丹丹/孙家孟</v>
          </cell>
          <cell r="N2527" t="str">
            <v>181130-1-43</v>
          </cell>
          <cell r="Q2527">
            <v>597</v>
          </cell>
        </row>
        <row r="2528">
          <cell r="E2528" t="str">
            <v>HFMET181123A2657-89-114</v>
          </cell>
          <cell r="F2528" t="str">
            <v>Meta 54，D02</v>
          </cell>
          <cell r="G2528">
            <v>20</v>
          </cell>
          <cell r="H2528" t="str">
            <v>土壤微生物</v>
          </cell>
          <cell r="I2528">
            <v>596</v>
          </cell>
          <cell r="J2528">
            <v>11.35</v>
          </cell>
          <cell r="K2528">
            <v>27.02</v>
          </cell>
          <cell r="L2528" t="str">
            <v>合格</v>
          </cell>
          <cell r="M2528" t="str">
            <v>王丹丹/孙家孟</v>
          </cell>
          <cell r="N2528" t="str">
            <v>181130-1-44</v>
          </cell>
          <cell r="Q2528">
            <v>596</v>
          </cell>
        </row>
        <row r="2529">
          <cell r="E2529" t="str">
            <v>HFMET181123A2658-90-114</v>
          </cell>
          <cell r="F2529" t="str">
            <v>Meta 54，D03</v>
          </cell>
          <cell r="G2529">
            <v>20</v>
          </cell>
          <cell r="H2529" t="str">
            <v>土壤微生物</v>
          </cell>
          <cell r="I2529">
            <v>602</v>
          </cell>
          <cell r="J2529">
            <v>7.13</v>
          </cell>
          <cell r="K2529">
            <v>16.93</v>
          </cell>
          <cell r="L2529" t="str">
            <v>合格</v>
          </cell>
          <cell r="M2529" t="str">
            <v>王丹丹/孙家孟</v>
          </cell>
          <cell r="N2529" t="str">
            <v>181130-1-45</v>
          </cell>
          <cell r="Q2529">
            <v>602</v>
          </cell>
        </row>
        <row r="2530">
          <cell r="E2530" t="str">
            <v>HFMET181123A2659-91-114</v>
          </cell>
          <cell r="F2530" t="str">
            <v>Meta 54，D04</v>
          </cell>
          <cell r="G2530">
            <v>20</v>
          </cell>
          <cell r="H2530" t="str">
            <v>土壤微生物</v>
          </cell>
          <cell r="I2530">
            <v>606</v>
          </cell>
          <cell r="J2530">
            <v>6.89</v>
          </cell>
          <cell r="K2530">
            <v>16.46</v>
          </cell>
          <cell r="L2530" t="str">
            <v>合格</v>
          </cell>
          <cell r="M2530" t="str">
            <v>王丹丹/孙家孟</v>
          </cell>
          <cell r="N2530" t="str">
            <v>181130-1-46</v>
          </cell>
          <cell r="Q2530">
            <v>606</v>
          </cell>
        </row>
        <row r="2531">
          <cell r="E2531" t="str">
            <v>HFMET181123A2660-92-114</v>
          </cell>
          <cell r="F2531" t="str">
            <v>Meta 54，D05</v>
          </cell>
          <cell r="G2531">
            <v>20</v>
          </cell>
          <cell r="H2531" t="str">
            <v>土壤微生物</v>
          </cell>
          <cell r="I2531">
            <v>604</v>
          </cell>
          <cell r="J2531">
            <v>7.04</v>
          </cell>
          <cell r="K2531">
            <v>16.920000000000002</v>
          </cell>
          <cell r="L2531" t="str">
            <v>合格</v>
          </cell>
          <cell r="M2531" t="str">
            <v>王丹丹/孙家孟</v>
          </cell>
          <cell r="N2531" t="str">
            <v>181130-1-47</v>
          </cell>
          <cell r="Q2531">
            <v>604</v>
          </cell>
        </row>
        <row r="2532">
          <cell r="E2532" t="str">
            <v>HFMET181123A2661-87-115</v>
          </cell>
          <cell r="F2532" t="str">
            <v>Meta 54，D06</v>
          </cell>
          <cell r="G2532">
            <v>20</v>
          </cell>
          <cell r="H2532" t="str">
            <v>土壤微生物</v>
          </cell>
          <cell r="I2532">
            <v>581</v>
          </cell>
          <cell r="J2532">
            <v>10.44</v>
          </cell>
          <cell r="K2532">
            <v>25.3</v>
          </cell>
          <cell r="L2532" t="str">
            <v>合格</v>
          </cell>
          <cell r="M2532" t="str">
            <v>王丹丹/孙家孟</v>
          </cell>
          <cell r="N2532" t="str">
            <v>181130-1-48</v>
          </cell>
          <cell r="Q2532">
            <v>581</v>
          </cell>
        </row>
        <row r="2533">
          <cell r="E2533" t="str">
            <v>HFMET181123A2662-88-115</v>
          </cell>
          <cell r="F2533" t="str">
            <v>Meta 54，D07</v>
          </cell>
          <cell r="G2533">
            <v>20</v>
          </cell>
          <cell r="H2533" t="str">
            <v>土壤微生物</v>
          </cell>
          <cell r="I2533">
            <v>591</v>
          </cell>
          <cell r="J2533">
            <v>9.8000000000000007</v>
          </cell>
          <cell r="K2533">
            <v>23.35</v>
          </cell>
          <cell r="L2533" t="str">
            <v>合格</v>
          </cell>
          <cell r="M2533" t="str">
            <v>王丹丹/孙家孟</v>
          </cell>
          <cell r="N2533" t="str">
            <v>181130-1-49</v>
          </cell>
          <cell r="Q2533">
            <v>591</v>
          </cell>
        </row>
        <row r="2534">
          <cell r="E2534" t="str">
            <v>HFMET181123A2663-89-115</v>
          </cell>
          <cell r="F2534" t="str">
            <v>Meta 54，D08</v>
          </cell>
          <cell r="G2534">
            <v>20</v>
          </cell>
          <cell r="H2534" t="str">
            <v>土壤微生物</v>
          </cell>
          <cell r="I2534">
            <v>605</v>
          </cell>
          <cell r="J2534">
            <v>6.6</v>
          </cell>
          <cell r="K2534">
            <v>15.58</v>
          </cell>
          <cell r="L2534" t="str">
            <v>合格</v>
          </cell>
          <cell r="M2534" t="str">
            <v>王丹丹/孙家孟</v>
          </cell>
          <cell r="N2534" t="str">
            <v>181130-1-50</v>
          </cell>
          <cell r="Q2534">
            <v>605</v>
          </cell>
        </row>
        <row r="2535">
          <cell r="E2535" t="str">
            <v>HFMET181123A2664-90-115</v>
          </cell>
          <cell r="F2535" t="str">
            <v>Meta 54，D09</v>
          </cell>
          <cell r="G2535">
            <v>20</v>
          </cell>
          <cell r="H2535" t="str">
            <v>土壤微生物</v>
          </cell>
          <cell r="I2535">
            <v>584</v>
          </cell>
          <cell r="J2535">
            <v>9.7200000000000006</v>
          </cell>
          <cell r="K2535">
            <v>23.43</v>
          </cell>
          <cell r="L2535" t="str">
            <v>合格</v>
          </cell>
          <cell r="M2535" t="str">
            <v>王丹丹/孙家孟</v>
          </cell>
          <cell r="N2535" t="str">
            <v>181130-1-51</v>
          </cell>
          <cell r="Q2535">
            <v>584</v>
          </cell>
        </row>
        <row r="2536">
          <cell r="E2536" t="str">
            <v>HFMET181123A2665-91-115</v>
          </cell>
          <cell r="F2536" t="str">
            <v>Meta 54，D10</v>
          </cell>
          <cell r="G2536">
            <v>20</v>
          </cell>
          <cell r="H2536" t="str">
            <v>土壤微生物</v>
          </cell>
          <cell r="I2536">
            <v>601</v>
          </cell>
          <cell r="J2536">
            <v>6.11</v>
          </cell>
          <cell r="K2536">
            <v>14.58</v>
          </cell>
          <cell r="L2536" t="str">
            <v>合格</v>
          </cell>
          <cell r="M2536" t="str">
            <v>王丹丹/孙家孟</v>
          </cell>
          <cell r="N2536" t="str">
            <v>181130-1-52</v>
          </cell>
          <cell r="Q2536">
            <v>601</v>
          </cell>
        </row>
        <row r="2537">
          <cell r="E2537" t="str">
            <v>NTC2-90-115</v>
          </cell>
          <cell r="F2537" t="str">
            <v>Meta 54，D11</v>
          </cell>
          <cell r="G2537">
            <v>20</v>
          </cell>
          <cell r="I2537" t="str">
            <v>无目的峰</v>
          </cell>
          <cell r="J2537">
            <v>3.6499999999999998E-2</v>
          </cell>
          <cell r="K2537">
            <v>0.103295</v>
          </cell>
          <cell r="L2537" t="str">
            <v>合格</v>
          </cell>
          <cell r="M2537" t="str">
            <v>王丹丹/孙家孟</v>
          </cell>
          <cell r="N2537" t="str">
            <v>181130-1-53</v>
          </cell>
          <cell r="Q2537" t="str">
            <v>无目的峰</v>
          </cell>
        </row>
        <row r="2538">
          <cell r="E2538" t="str">
            <v>NTC3-91-115</v>
          </cell>
          <cell r="F2538" t="str">
            <v>Meta 54，D12</v>
          </cell>
          <cell r="G2538">
            <v>20</v>
          </cell>
          <cell r="I2538" t="str">
            <v>无目的峰</v>
          </cell>
          <cell r="J2538">
            <v>8.9099999999999999E-2</v>
          </cell>
          <cell r="K2538">
            <v>0.25215300000000002</v>
          </cell>
          <cell r="L2538" t="str">
            <v>合格</v>
          </cell>
          <cell r="M2538" t="str">
            <v>王丹丹/孙家孟</v>
          </cell>
          <cell r="N2538" t="str">
            <v>181130-1-54</v>
          </cell>
          <cell r="Q2538" t="str">
            <v>无目的峰</v>
          </cell>
        </row>
        <row r="2539">
          <cell r="E2539" t="str">
            <v>HFMET181204A2666-109-111</v>
          </cell>
          <cell r="F2539" t="str">
            <v>Meta 54，E01</v>
          </cell>
          <cell r="G2539">
            <v>20</v>
          </cell>
          <cell r="H2539" t="str">
            <v>土壤微生物</v>
          </cell>
          <cell r="I2539" t="str">
            <v>无目的峰</v>
          </cell>
          <cell r="J2539">
            <v>0.03</v>
          </cell>
          <cell r="K2539">
            <v>7.0000000000000007E-2</v>
          </cell>
          <cell r="L2539" t="str">
            <v>不合格</v>
          </cell>
          <cell r="M2539" t="str">
            <v>孙家孟/王建敏</v>
          </cell>
          <cell r="N2539" t="str">
            <v>181205-1-1</v>
          </cell>
          <cell r="Q2539" t="str">
            <v>无目的峰</v>
          </cell>
        </row>
        <row r="2540">
          <cell r="E2540" t="str">
            <v>HFMET181204A2667-110-111</v>
          </cell>
          <cell r="F2540" t="str">
            <v>Meta 54，E02</v>
          </cell>
          <cell r="G2540">
            <v>20</v>
          </cell>
          <cell r="H2540" t="str">
            <v>土壤微生物</v>
          </cell>
          <cell r="I2540">
            <v>615</v>
          </cell>
          <cell r="J2540">
            <v>6.68</v>
          </cell>
          <cell r="K2540">
            <v>15.88</v>
          </cell>
          <cell r="L2540" t="str">
            <v>合格</v>
          </cell>
          <cell r="M2540" t="str">
            <v>孙家孟/王建敏</v>
          </cell>
          <cell r="N2540" t="str">
            <v>181205-1-2</v>
          </cell>
          <cell r="Q2540">
            <v>615</v>
          </cell>
        </row>
        <row r="2541">
          <cell r="E2541" t="str">
            <v>HFMET181204A2668-90-112</v>
          </cell>
          <cell r="F2541" t="str">
            <v>Meta 54，E03</v>
          </cell>
          <cell r="G2541">
            <v>20</v>
          </cell>
          <cell r="H2541" t="str">
            <v>土壤微生物</v>
          </cell>
          <cell r="I2541">
            <v>594</v>
          </cell>
          <cell r="J2541">
            <v>8.3000000000000007</v>
          </cell>
          <cell r="K2541">
            <v>20.07</v>
          </cell>
          <cell r="L2541" t="str">
            <v>合格</v>
          </cell>
          <cell r="M2541" t="str">
            <v>孙家孟/王建敏</v>
          </cell>
          <cell r="N2541" t="str">
            <v>181205-1-3</v>
          </cell>
          <cell r="Q2541">
            <v>594</v>
          </cell>
        </row>
        <row r="2542">
          <cell r="E2542" t="str">
            <v>HFMET181204A2669-91-112</v>
          </cell>
          <cell r="F2542" t="str">
            <v>Meta 54，E04</v>
          </cell>
          <cell r="G2542">
            <v>20</v>
          </cell>
          <cell r="H2542" t="str">
            <v>土壤微生物</v>
          </cell>
          <cell r="I2542">
            <v>621</v>
          </cell>
          <cell r="J2542">
            <v>5.6</v>
          </cell>
          <cell r="K2542">
            <v>13.24</v>
          </cell>
          <cell r="L2542" t="str">
            <v>合格</v>
          </cell>
          <cell r="M2542" t="str">
            <v>孙家孟/王建敏</v>
          </cell>
          <cell r="N2542" t="str">
            <v>181205-1-4</v>
          </cell>
          <cell r="Q2542">
            <v>621</v>
          </cell>
        </row>
        <row r="2543">
          <cell r="E2543" t="str">
            <v>HFMET181204A2670-92-112</v>
          </cell>
          <cell r="F2543" t="str">
            <v>Meta 54，E05</v>
          </cell>
          <cell r="G2543">
            <v>20</v>
          </cell>
          <cell r="H2543" t="str">
            <v>土壤微生物</v>
          </cell>
          <cell r="I2543">
            <v>611</v>
          </cell>
          <cell r="J2543">
            <v>5.59</v>
          </cell>
          <cell r="K2543">
            <v>13.45</v>
          </cell>
          <cell r="L2543" t="str">
            <v>合格</v>
          </cell>
          <cell r="M2543" t="str">
            <v>孙家孟/王建敏</v>
          </cell>
          <cell r="N2543" t="str">
            <v>181205-1-5</v>
          </cell>
          <cell r="Q2543">
            <v>611</v>
          </cell>
        </row>
        <row r="2544">
          <cell r="E2544" t="str">
            <v>HFMET181204A2671-106-112</v>
          </cell>
          <cell r="F2544" t="str">
            <v>Meta 54，E06</v>
          </cell>
          <cell r="G2544">
            <v>20</v>
          </cell>
          <cell r="H2544" t="str">
            <v>土壤微生物</v>
          </cell>
          <cell r="I2544">
            <v>600</v>
          </cell>
          <cell r="J2544">
            <v>9.07</v>
          </cell>
          <cell r="K2544">
            <v>21.61</v>
          </cell>
          <cell r="L2544" t="str">
            <v>合格</v>
          </cell>
          <cell r="M2544" t="str">
            <v>孙家孟/王建敏</v>
          </cell>
          <cell r="N2544" t="str">
            <v>181205-1-6</v>
          </cell>
          <cell r="Q2544">
            <v>600</v>
          </cell>
        </row>
        <row r="2545">
          <cell r="E2545" t="str">
            <v>HFMET181204A2672-107-112</v>
          </cell>
          <cell r="F2545" t="str">
            <v>Meta 54，E07</v>
          </cell>
          <cell r="G2545">
            <v>20</v>
          </cell>
          <cell r="H2545" t="str">
            <v>土壤微生物</v>
          </cell>
          <cell r="I2545">
            <v>594</v>
          </cell>
          <cell r="J2545">
            <v>11.69</v>
          </cell>
          <cell r="K2545">
            <v>28.13</v>
          </cell>
          <cell r="L2545" t="str">
            <v>合格</v>
          </cell>
          <cell r="M2545" t="str">
            <v>孙家孟/王建敏</v>
          </cell>
          <cell r="N2545" t="str">
            <v>181205-1-7</v>
          </cell>
          <cell r="Q2545">
            <v>594</v>
          </cell>
        </row>
        <row r="2546">
          <cell r="E2546" t="str">
            <v>HFMET181204A2673-108-112</v>
          </cell>
          <cell r="F2546" t="str">
            <v>Meta 54，E08</v>
          </cell>
          <cell r="G2546">
            <v>20</v>
          </cell>
          <cell r="H2546" t="str">
            <v>土壤微生物</v>
          </cell>
          <cell r="I2546">
            <v>614</v>
          </cell>
          <cell r="J2546">
            <v>6.93</v>
          </cell>
          <cell r="K2546">
            <v>16.46</v>
          </cell>
          <cell r="L2546" t="str">
            <v>合格</v>
          </cell>
          <cell r="M2546" t="str">
            <v>孙家孟/王建敏</v>
          </cell>
          <cell r="N2546" t="str">
            <v>181205-1-8</v>
          </cell>
          <cell r="Q2546">
            <v>614</v>
          </cell>
        </row>
        <row r="2547">
          <cell r="E2547" t="str">
            <v>HFMET181204A2674-109-112</v>
          </cell>
          <cell r="F2547" t="str">
            <v>Meta 54，E09</v>
          </cell>
          <cell r="G2547">
            <v>20</v>
          </cell>
          <cell r="H2547" t="str">
            <v>土壤微生物</v>
          </cell>
          <cell r="I2547">
            <v>606</v>
          </cell>
          <cell r="J2547">
            <v>9.82</v>
          </cell>
          <cell r="K2547">
            <v>23.22</v>
          </cell>
          <cell r="L2547" t="str">
            <v>合格</v>
          </cell>
          <cell r="M2547" t="str">
            <v>孙家孟/王建敏</v>
          </cell>
          <cell r="N2547" t="str">
            <v>181205-1-9</v>
          </cell>
          <cell r="Q2547">
            <v>606</v>
          </cell>
        </row>
        <row r="2548">
          <cell r="E2548" t="str">
            <v>HFMET181204A2675-110-112</v>
          </cell>
          <cell r="F2548" t="str">
            <v>Meta 54，E10</v>
          </cell>
          <cell r="G2548">
            <v>20</v>
          </cell>
          <cell r="H2548" t="str">
            <v>土壤微生物</v>
          </cell>
          <cell r="I2548">
            <v>634</v>
          </cell>
          <cell r="J2548">
            <v>5.26</v>
          </cell>
          <cell r="K2548">
            <v>12.29</v>
          </cell>
          <cell r="L2548" t="str">
            <v>合格</v>
          </cell>
          <cell r="M2548" t="str">
            <v>孙家孟/王建敏</v>
          </cell>
          <cell r="N2548" t="str">
            <v>181205-1-10</v>
          </cell>
          <cell r="Q2548">
            <v>634</v>
          </cell>
        </row>
        <row r="2549">
          <cell r="E2549" t="str">
            <v>HFMET181204A2676-108-113</v>
          </cell>
          <cell r="F2549" t="str">
            <v>Meta 54，E11</v>
          </cell>
          <cell r="G2549">
            <v>20</v>
          </cell>
          <cell r="H2549" t="str">
            <v>土壤微生物</v>
          </cell>
          <cell r="I2549">
            <v>616</v>
          </cell>
          <cell r="J2549">
            <v>3.25</v>
          </cell>
          <cell r="K2549">
            <v>7.9</v>
          </cell>
          <cell r="L2549" t="str">
            <v>合格</v>
          </cell>
          <cell r="M2549" t="str">
            <v>孙家孟/王建敏</v>
          </cell>
          <cell r="N2549" t="str">
            <v>181205-1-11</v>
          </cell>
          <cell r="Q2549">
            <v>616</v>
          </cell>
        </row>
        <row r="2550">
          <cell r="E2550" t="str">
            <v>HFMET181204A2677-109-113</v>
          </cell>
          <cell r="F2550" t="str">
            <v>Meta 54，E12</v>
          </cell>
          <cell r="G2550">
            <v>20</v>
          </cell>
          <cell r="H2550" t="str">
            <v>土壤微生物</v>
          </cell>
          <cell r="I2550">
            <v>626</v>
          </cell>
          <cell r="J2550">
            <v>6.69</v>
          </cell>
          <cell r="K2550">
            <v>15.34</v>
          </cell>
          <cell r="L2550" t="str">
            <v>合格</v>
          </cell>
          <cell r="M2550" t="str">
            <v>孙家孟/王建敏</v>
          </cell>
          <cell r="N2550" t="str">
            <v>181205-1-12</v>
          </cell>
          <cell r="Q2550">
            <v>626</v>
          </cell>
        </row>
        <row r="2551">
          <cell r="E2551" t="str">
            <v>HFMET181204A2678-110-113</v>
          </cell>
          <cell r="F2551" t="str">
            <v>Meta 54，F01</v>
          </cell>
          <cell r="G2551">
            <v>20</v>
          </cell>
          <cell r="H2551" t="str">
            <v>土壤微生物</v>
          </cell>
          <cell r="I2551">
            <v>621</v>
          </cell>
          <cell r="J2551">
            <v>7.35</v>
          </cell>
          <cell r="K2551">
            <v>17.239999999999998</v>
          </cell>
          <cell r="L2551" t="str">
            <v>合格</v>
          </cell>
          <cell r="M2551" t="str">
            <v>孙家孟/王建敏</v>
          </cell>
          <cell r="N2551" t="str">
            <v>181205-1-13</v>
          </cell>
          <cell r="Q2551">
            <v>621</v>
          </cell>
        </row>
        <row r="2552">
          <cell r="E2552" t="str">
            <v>HFMET181204A2679-92-115</v>
          </cell>
          <cell r="F2552" t="str">
            <v>Meta 54，F02</v>
          </cell>
          <cell r="G2552">
            <v>20</v>
          </cell>
          <cell r="H2552" t="str">
            <v>小鼠粪便</v>
          </cell>
          <cell r="I2552">
            <v>649</v>
          </cell>
          <cell r="J2552">
            <v>5.14</v>
          </cell>
          <cell r="K2552">
            <v>11.77</v>
          </cell>
          <cell r="L2552" t="str">
            <v>合格</v>
          </cell>
          <cell r="M2552" t="str">
            <v>孙家孟/王建敏</v>
          </cell>
          <cell r="N2552" t="str">
            <v>181205-1-14</v>
          </cell>
          <cell r="Q2552">
            <v>649</v>
          </cell>
        </row>
        <row r="2553">
          <cell r="E2553" t="str">
            <v>HFMET181204A2680-87-118</v>
          </cell>
          <cell r="F2553" t="str">
            <v>Meta 54，F03</v>
          </cell>
          <cell r="G2553">
            <v>20</v>
          </cell>
          <cell r="H2553" t="str">
            <v>小鼠粪便</v>
          </cell>
          <cell r="I2553">
            <v>634</v>
          </cell>
          <cell r="J2553">
            <v>9.49</v>
          </cell>
          <cell r="K2553">
            <v>21.48</v>
          </cell>
          <cell r="L2553" t="str">
            <v>合格</v>
          </cell>
          <cell r="M2553" t="str">
            <v>孙家孟/王建敏</v>
          </cell>
          <cell r="N2553" t="str">
            <v>181205-1-15</v>
          </cell>
          <cell r="Q2553">
            <v>634</v>
          </cell>
        </row>
        <row r="2554">
          <cell r="E2554" t="str">
            <v>HFMET181204A2681-88-118</v>
          </cell>
          <cell r="F2554" t="str">
            <v>Meta 54，F04</v>
          </cell>
          <cell r="G2554">
            <v>20</v>
          </cell>
          <cell r="H2554" t="str">
            <v>小鼠粪便</v>
          </cell>
          <cell r="I2554">
            <v>637</v>
          </cell>
          <cell r="J2554">
            <v>12.53</v>
          </cell>
          <cell r="K2554">
            <v>28.18</v>
          </cell>
          <cell r="L2554" t="str">
            <v>合格</v>
          </cell>
          <cell r="M2554" t="str">
            <v>孙家孟/王建敏</v>
          </cell>
          <cell r="N2554" t="str">
            <v>181205-1-16</v>
          </cell>
          <cell r="Q2554">
            <v>637</v>
          </cell>
        </row>
        <row r="2555">
          <cell r="E2555" t="str">
            <v>HFMET181204A2682-89-118</v>
          </cell>
          <cell r="F2555" t="str">
            <v>Meta 54，F05</v>
          </cell>
          <cell r="G2555">
            <v>20</v>
          </cell>
          <cell r="H2555" t="str">
            <v>小鼠粪便</v>
          </cell>
          <cell r="I2555">
            <v>636</v>
          </cell>
          <cell r="J2555">
            <v>9.43</v>
          </cell>
          <cell r="K2555">
            <v>21.34</v>
          </cell>
          <cell r="L2555" t="str">
            <v>合格</v>
          </cell>
          <cell r="M2555" t="str">
            <v>孙家孟/王建敏</v>
          </cell>
          <cell r="N2555" t="str">
            <v>181205-1-17</v>
          </cell>
          <cell r="Q2555">
            <v>636</v>
          </cell>
        </row>
        <row r="2556">
          <cell r="E2556" t="str">
            <v>HFMET181204A2683-90-118</v>
          </cell>
          <cell r="F2556" t="str">
            <v>Meta 54，F06</v>
          </cell>
          <cell r="G2556">
            <v>20</v>
          </cell>
          <cell r="H2556" t="str">
            <v>小鼠粪便</v>
          </cell>
          <cell r="I2556">
            <v>631</v>
          </cell>
          <cell r="J2556">
            <v>9.0399999999999991</v>
          </cell>
          <cell r="K2556">
            <v>20.79</v>
          </cell>
          <cell r="L2556" t="str">
            <v>合格</v>
          </cell>
          <cell r="M2556" t="str">
            <v>孙家孟/王建敏</v>
          </cell>
          <cell r="N2556" t="str">
            <v>181205-1-18</v>
          </cell>
          <cell r="Q2556">
            <v>631</v>
          </cell>
        </row>
        <row r="2557">
          <cell r="E2557" t="str">
            <v>HFMET181204A2684-91-118</v>
          </cell>
          <cell r="F2557" t="str">
            <v>Meta 54，F07</v>
          </cell>
          <cell r="G2557">
            <v>20</v>
          </cell>
          <cell r="H2557" t="str">
            <v>小鼠粪便</v>
          </cell>
          <cell r="I2557">
            <v>625</v>
          </cell>
          <cell r="J2557">
            <v>13.62</v>
          </cell>
          <cell r="K2557">
            <v>32.15</v>
          </cell>
          <cell r="L2557" t="str">
            <v>合格</v>
          </cell>
          <cell r="M2557" t="str">
            <v>孙家孟/王建敏</v>
          </cell>
          <cell r="N2557" t="str">
            <v>181205-1-19</v>
          </cell>
          <cell r="Q2557">
            <v>625</v>
          </cell>
        </row>
        <row r="2558">
          <cell r="E2558" t="str">
            <v>HFMET181204A2685-92-118</v>
          </cell>
          <cell r="F2558" t="str">
            <v>Meta 54，F08</v>
          </cell>
          <cell r="G2558">
            <v>20</v>
          </cell>
          <cell r="H2558" t="str">
            <v>小鼠粪便</v>
          </cell>
          <cell r="I2558">
            <v>648</v>
          </cell>
          <cell r="J2558">
            <v>7.53</v>
          </cell>
          <cell r="K2558">
            <v>17.57</v>
          </cell>
          <cell r="L2558" t="str">
            <v>合格</v>
          </cell>
          <cell r="M2558" t="str">
            <v>孙家孟/王建敏</v>
          </cell>
          <cell r="N2558" t="str">
            <v>181205-1-20</v>
          </cell>
          <cell r="Q2558">
            <v>648</v>
          </cell>
        </row>
        <row r="2559">
          <cell r="E2559" t="str">
            <v>HFMET181204A2686-93-118</v>
          </cell>
          <cell r="F2559" t="str">
            <v>Meta 54，F09</v>
          </cell>
          <cell r="G2559">
            <v>20</v>
          </cell>
          <cell r="H2559" t="str">
            <v>小鼠粪便</v>
          </cell>
          <cell r="I2559">
            <v>647</v>
          </cell>
          <cell r="J2559">
            <v>6.84</v>
          </cell>
          <cell r="K2559">
            <v>15.91</v>
          </cell>
          <cell r="L2559" t="str">
            <v>合格</v>
          </cell>
          <cell r="M2559" t="str">
            <v>孙家孟/王建敏</v>
          </cell>
          <cell r="N2559" t="str">
            <v>181205-1-21</v>
          </cell>
          <cell r="Q2559">
            <v>647</v>
          </cell>
        </row>
        <row r="2560">
          <cell r="E2560" t="str">
            <v>HFMET181204A2687-94-118</v>
          </cell>
          <cell r="F2560" t="str">
            <v>Meta 54，F10</v>
          </cell>
          <cell r="G2560">
            <v>20</v>
          </cell>
          <cell r="H2560" t="str">
            <v>小鼠粪便</v>
          </cell>
          <cell r="I2560">
            <v>640</v>
          </cell>
          <cell r="J2560">
            <v>10.09</v>
          </cell>
          <cell r="K2560">
            <v>23.23</v>
          </cell>
          <cell r="L2560" t="str">
            <v>合格</v>
          </cell>
          <cell r="M2560" t="str">
            <v>孙家孟/王建敏</v>
          </cell>
          <cell r="N2560" t="str">
            <v>181205-1-22</v>
          </cell>
          <cell r="Q2560">
            <v>640</v>
          </cell>
        </row>
        <row r="2561">
          <cell r="E2561" t="str">
            <v>HFMET181204A2688-95-118</v>
          </cell>
          <cell r="F2561" t="str">
            <v>Meta 54，F11</v>
          </cell>
          <cell r="G2561">
            <v>20</v>
          </cell>
          <cell r="H2561" t="str">
            <v>小鼠粪便</v>
          </cell>
          <cell r="I2561">
            <v>632</v>
          </cell>
          <cell r="J2561">
            <v>10.96</v>
          </cell>
          <cell r="K2561">
            <v>24.93</v>
          </cell>
          <cell r="L2561" t="str">
            <v>合格</v>
          </cell>
          <cell r="M2561" t="str">
            <v>孙家孟/王建敏</v>
          </cell>
          <cell r="N2561" t="str">
            <v>181205-1-23</v>
          </cell>
          <cell r="Q2561">
            <v>632</v>
          </cell>
        </row>
        <row r="2562">
          <cell r="E2562" t="str">
            <v>HFMET181204A2689-96-118</v>
          </cell>
          <cell r="F2562" t="str">
            <v>Meta 54，F12</v>
          </cell>
          <cell r="G2562">
            <v>20</v>
          </cell>
          <cell r="H2562" t="str">
            <v>小鼠粪便</v>
          </cell>
          <cell r="I2562">
            <v>635</v>
          </cell>
          <cell r="J2562">
            <v>13.99</v>
          </cell>
          <cell r="K2562">
            <v>31.3</v>
          </cell>
          <cell r="L2562" t="str">
            <v>合格</v>
          </cell>
          <cell r="M2562" t="str">
            <v>孙家孟/王建敏</v>
          </cell>
          <cell r="N2562" t="str">
            <v>181205-1-24</v>
          </cell>
          <cell r="Q2562">
            <v>635</v>
          </cell>
        </row>
        <row r="2563">
          <cell r="E2563" t="str">
            <v>HFMET181204A2690-97-118</v>
          </cell>
          <cell r="F2563" t="str">
            <v>Meta 54，G01</v>
          </cell>
          <cell r="G2563">
            <v>20</v>
          </cell>
          <cell r="H2563" t="str">
            <v>小鼠粪便</v>
          </cell>
          <cell r="I2563">
            <v>636</v>
          </cell>
          <cell r="J2563">
            <v>11.95</v>
          </cell>
          <cell r="K2563">
            <v>26.87</v>
          </cell>
          <cell r="L2563" t="str">
            <v>合格</v>
          </cell>
          <cell r="M2563" t="str">
            <v>孙家孟/王建敏</v>
          </cell>
          <cell r="N2563" t="str">
            <v>181205-1-25</v>
          </cell>
          <cell r="Q2563">
            <v>636</v>
          </cell>
        </row>
        <row r="2564">
          <cell r="E2564" t="str">
            <v>HFMET181204A2691-98-118</v>
          </cell>
          <cell r="F2564" t="str">
            <v>Meta 54，G02</v>
          </cell>
          <cell r="G2564">
            <v>20</v>
          </cell>
          <cell r="H2564" t="str">
            <v>小鼠粪便</v>
          </cell>
          <cell r="I2564">
            <v>643</v>
          </cell>
          <cell r="J2564">
            <v>9.2799999999999994</v>
          </cell>
          <cell r="K2564">
            <v>20.62</v>
          </cell>
          <cell r="L2564" t="str">
            <v>合格</v>
          </cell>
          <cell r="M2564" t="str">
            <v>孙家孟/王建敏</v>
          </cell>
          <cell r="N2564" t="str">
            <v>181205-1-26</v>
          </cell>
          <cell r="Q2564">
            <v>643</v>
          </cell>
        </row>
        <row r="2565">
          <cell r="E2565" t="str">
            <v>HFMET181204A2692-99-118</v>
          </cell>
          <cell r="F2565" t="str">
            <v>Meta 54，G03</v>
          </cell>
          <cell r="G2565">
            <v>20</v>
          </cell>
          <cell r="H2565" t="str">
            <v>小鼠粪便</v>
          </cell>
          <cell r="I2565">
            <v>645</v>
          </cell>
          <cell r="J2565">
            <v>9.1</v>
          </cell>
          <cell r="K2565">
            <v>21.16</v>
          </cell>
          <cell r="L2565" t="str">
            <v>合格</v>
          </cell>
          <cell r="M2565" t="str">
            <v>孙家孟/王建敏</v>
          </cell>
          <cell r="N2565" t="str">
            <v>181205-1-27</v>
          </cell>
          <cell r="Q2565">
            <v>645</v>
          </cell>
        </row>
        <row r="2566">
          <cell r="E2566" t="str">
            <v>HFMET181204A2693-100-118</v>
          </cell>
          <cell r="F2566" t="str">
            <v>Meta 54，G04</v>
          </cell>
          <cell r="G2566">
            <v>20</v>
          </cell>
          <cell r="H2566" t="str">
            <v>小鼠粪便</v>
          </cell>
          <cell r="I2566">
            <v>648</v>
          </cell>
          <cell r="J2566">
            <v>6.36</v>
          </cell>
          <cell r="K2566">
            <v>14.87</v>
          </cell>
          <cell r="L2566" t="str">
            <v>合格</v>
          </cell>
          <cell r="M2566" t="str">
            <v>孙家孟/王建敏</v>
          </cell>
          <cell r="N2566" t="str">
            <v>181205-1-28</v>
          </cell>
          <cell r="Q2566">
            <v>648</v>
          </cell>
        </row>
        <row r="2567">
          <cell r="E2567" t="str">
            <v>NTC-1-99-118</v>
          </cell>
          <cell r="F2567" t="str">
            <v>Meta 54，G05</v>
          </cell>
          <cell r="G2567">
            <v>20</v>
          </cell>
          <cell r="I2567" t="str">
            <v>无目的峰</v>
          </cell>
          <cell r="J2567">
            <v>5.7700000000000001E-2</v>
          </cell>
          <cell r="K2567">
            <v>0.16329099999999999</v>
          </cell>
          <cell r="L2567" t="str">
            <v>合格</v>
          </cell>
          <cell r="M2567" t="str">
            <v>孙家孟/王建敏</v>
          </cell>
          <cell r="N2567" t="str">
            <v>181205-1-29</v>
          </cell>
          <cell r="Q2567" t="str">
            <v>无目的峰</v>
          </cell>
        </row>
        <row r="2568">
          <cell r="E2568" t="str">
            <v>NTC-2-100-118</v>
          </cell>
          <cell r="F2568" t="str">
            <v>Meta 54，G06</v>
          </cell>
          <cell r="G2568">
            <v>20</v>
          </cell>
          <cell r="I2568" t="str">
            <v>无目的峰</v>
          </cell>
          <cell r="J2568">
            <v>8.8900000000000007E-2</v>
          </cell>
          <cell r="K2568">
            <v>0.25158700000000001</v>
          </cell>
          <cell r="L2568" t="str">
            <v>合格</v>
          </cell>
          <cell r="M2568" t="str">
            <v>孙家孟/王建敏</v>
          </cell>
          <cell r="N2568" t="str">
            <v>181205-1-30</v>
          </cell>
          <cell r="Q2568" t="str">
            <v>无目的峰</v>
          </cell>
        </row>
        <row r="2569">
          <cell r="E2569" t="str">
            <v>HFMET181206A2706-87-121</v>
          </cell>
          <cell r="F2569" t="str">
            <v>Meta 54，H11</v>
          </cell>
          <cell r="G2569">
            <v>20</v>
          </cell>
          <cell r="H2569" t="str">
            <v>猪粪堆肥</v>
          </cell>
          <cell r="I2569">
            <v>607</v>
          </cell>
          <cell r="J2569">
            <v>16.09</v>
          </cell>
          <cell r="K2569">
            <v>37.450000000000003</v>
          </cell>
          <cell r="L2569" t="str">
            <v>合格</v>
          </cell>
          <cell r="M2569" t="str">
            <v>孙家孟/朱绪涛</v>
          </cell>
          <cell r="N2569" t="str">
            <v>18121102-1</v>
          </cell>
          <cell r="Q2569">
            <v>607</v>
          </cell>
        </row>
        <row r="2570">
          <cell r="E2570" t="str">
            <v>HFMET181206A2707-88-121</v>
          </cell>
          <cell r="F2570" t="str">
            <v>Meta 54，H12</v>
          </cell>
          <cell r="G2570">
            <v>20</v>
          </cell>
          <cell r="H2570" t="str">
            <v>猪粪堆肥</v>
          </cell>
          <cell r="I2570">
            <v>617</v>
          </cell>
          <cell r="J2570">
            <v>14.73</v>
          </cell>
          <cell r="K2570">
            <v>34.06</v>
          </cell>
          <cell r="L2570" t="str">
            <v>合格</v>
          </cell>
          <cell r="M2570" t="str">
            <v>孙家孟/朱绪涛</v>
          </cell>
          <cell r="N2570" t="str">
            <v>18121102-2</v>
          </cell>
          <cell r="Q2570">
            <v>617</v>
          </cell>
        </row>
        <row r="2571">
          <cell r="E2571" t="str">
            <v>HFMET181206A2708-89-121</v>
          </cell>
          <cell r="F2571" t="str">
            <v>Meta 55，A01</v>
          </cell>
          <cell r="G2571">
            <v>20</v>
          </cell>
          <cell r="H2571" t="str">
            <v>猪粪堆肥</v>
          </cell>
          <cell r="I2571">
            <v>616</v>
          </cell>
          <cell r="J2571">
            <v>20.350000000000001</v>
          </cell>
          <cell r="K2571">
            <v>47.07</v>
          </cell>
          <cell r="L2571" t="str">
            <v>合格</v>
          </cell>
          <cell r="M2571" t="str">
            <v>孙家孟/朱绪涛</v>
          </cell>
          <cell r="N2571" t="str">
            <v>18121102-3</v>
          </cell>
          <cell r="Q2571">
            <v>616</v>
          </cell>
        </row>
        <row r="2572">
          <cell r="E2572" t="str">
            <v>HFMET181206A2709-90-121</v>
          </cell>
          <cell r="F2572" t="str">
            <v>Meta 55，A02</v>
          </cell>
          <cell r="G2572">
            <v>20</v>
          </cell>
          <cell r="H2572" t="str">
            <v>猪粪堆肥</v>
          </cell>
          <cell r="I2572">
            <v>612</v>
          </cell>
          <cell r="J2572">
            <v>15.44</v>
          </cell>
          <cell r="K2572">
            <v>36.18</v>
          </cell>
          <cell r="L2572" t="str">
            <v>合格</v>
          </cell>
          <cell r="M2572" t="str">
            <v>孙家孟/朱绪涛</v>
          </cell>
          <cell r="N2572" t="str">
            <v>18121102-4</v>
          </cell>
          <cell r="Q2572">
            <v>612</v>
          </cell>
        </row>
        <row r="2573">
          <cell r="E2573" t="str">
            <v>HFMET181206A2710-91-121</v>
          </cell>
          <cell r="F2573" t="str">
            <v>Meta 55，A03</v>
          </cell>
          <cell r="G2573">
            <v>20</v>
          </cell>
          <cell r="H2573" t="str">
            <v>猪粪堆肥</v>
          </cell>
          <cell r="I2573">
            <v>612</v>
          </cell>
          <cell r="J2573">
            <v>17.89</v>
          </cell>
          <cell r="K2573">
            <v>41.38</v>
          </cell>
          <cell r="L2573" t="str">
            <v>合格</v>
          </cell>
          <cell r="M2573" t="str">
            <v>孙家孟/朱绪涛</v>
          </cell>
          <cell r="N2573" t="str">
            <v>18121102-5</v>
          </cell>
          <cell r="Q2573">
            <v>612</v>
          </cell>
        </row>
        <row r="2574">
          <cell r="E2574" t="str">
            <v>HFMET181206A2711-92-121</v>
          </cell>
          <cell r="F2574" t="str">
            <v>Meta 55，A04</v>
          </cell>
          <cell r="G2574">
            <v>20</v>
          </cell>
          <cell r="H2574" t="str">
            <v>猪粪堆肥</v>
          </cell>
          <cell r="I2574">
            <v>622</v>
          </cell>
          <cell r="J2574">
            <v>15.71</v>
          </cell>
          <cell r="K2574">
            <v>36.32</v>
          </cell>
          <cell r="L2574" t="str">
            <v>合格</v>
          </cell>
          <cell r="M2574" t="str">
            <v>孙家孟/朱绪涛</v>
          </cell>
          <cell r="N2574" t="str">
            <v>18121102-6</v>
          </cell>
          <cell r="Q2574">
            <v>622</v>
          </cell>
        </row>
        <row r="2575">
          <cell r="E2575" t="str">
            <v>HFMET181206A2712-93-121</v>
          </cell>
          <cell r="F2575" t="str">
            <v>Meta 55，A05</v>
          </cell>
          <cell r="G2575">
            <v>20</v>
          </cell>
          <cell r="H2575" t="str">
            <v>猪粪堆肥</v>
          </cell>
          <cell r="I2575">
            <v>625</v>
          </cell>
          <cell r="J2575">
            <v>14.63</v>
          </cell>
          <cell r="K2575">
            <v>33.659999999999997</v>
          </cell>
          <cell r="L2575" t="str">
            <v>合格</v>
          </cell>
          <cell r="M2575" t="str">
            <v>孙家孟/朱绪涛</v>
          </cell>
          <cell r="N2575" t="str">
            <v>18121102-7</v>
          </cell>
          <cell r="Q2575">
            <v>625</v>
          </cell>
        </row>
        <row r="2576">
          <cell r="E2576" t="str">
            <v>HFMET181206A2713-94-121</v>
          </cell>
          <cell r="F2576" t="str">
            <v>Meta 55，A06</v>
          </cell>
          <cell r="G2576">
            <v>20</v>
          </cell>
          <cell r="H2576" t="str">
            <v>猪粪堆肥</v>
          </cell>
          <cell r="I2576">
            <v>633</v>
          </cell>
          <cell r="J2576">
            <v>12.77</v>
          </cell>
          <cell r="K2576">
            <v>29.42</v>
          </cell>
          <cell r="L2576" t="str">
            <v>合格</v>
          </cell>
          <cell r="M2576" t="str">
            <v>孙家孟/朱绪涛</v>
          </cell>
          <cell r="N2576" t="str">
            <v>18121102-8</v>
          </cell>
          <cell r="Q2576">
            <v>633</v>
          </cell>
        </row>
        <row r="2577">
          <cell r="E2577" t="str">
            <v>HFMET181206A2714-87-122</v>
          </cell>
          <cell r="F2577" t="str">
            <v>Meta 55，A07</v>
          </cell>
          <cell r="G2577">
            <v>20</v>
          </cell>
          <cell r="H2577" t="str">
            <v>猪粪堆肥</v>
          </cell>
          <cell r="I2577">
            <v>614</v>
          </cell>
          <cell r="J2577">
            <v>18.329999999999998</v>
          </cell>
          <cell r="K2577">
            <v>42.6</v>
          </cell>
          <cell r="L2577" t="str">
            <v>合格</v>
          </cell>
          <cell r="M2577" t="str">
            <v>孙家孟/朱绪涛</v>
          </cell>
          <cell r="N2577" t="str">
            <v>18121102-9</v>
          </cell>
          <cell r="Q2577">
            <v>614</v>
          </cell>
        </row>
        <row r="2578">
          <cell r="E2578" t="str">
            <v>HFMET181206A2715-88-122</v>
          </cell>
          <cell r="F2578" t="str">
            <v>Meta 55，A08</v>
          </cell>
          <cell r="G2578">
            <v>20</v>
          </cell>
          <cell r="H2578" t="str">
            <v>猪粪堆肥</v>
          </cell>
          <cell r="I2578">
            <v>617</v>
          </cell>
          <cell r="J2578">
            <v>20.27</v>
          </cell>
          <cell r="K2578">
            <v>46.85</v>
          </cell>
          <cell r="L2578" t="str">
            <v>合格</v>
          </cell>
          <cell r="M2578" t="str">
            <v>孙家孟/朱绪涛</v>
          </cell>
          <cell r="N2578" t="str">
            <v>18121102-10</v>
          </cell>
          <cell r="Q2578">
            <v>617</v>
          </cell>
        </row>
        <row r="2579">
          <cell r="E2579" t="str">
            <v>HFMET181206A2716-89-122</v>
          </cell>
          <cell r="F2579" t="str">
            <v>Meta 55，A09</v>
          </cell>
          <cell r="G2579">
            <v>20</v>
          </cell>
          <cell r="H2579" t="str">
            <v>猪粪堆肥</v>
          </cell>
          <cell r="I2579">
            <v>612</v>
          </cell>
          <cell r="J2579">
            <v>20.57</v>
          </cell>
          <cell r="K2579">
            <v>47.87</v>
          </cell>
          <cell r="L2579" t="str">
            <v>合格</v>
          </cell>
          <cell r="M2579" t="str">
            <v>孙家孟/朱绪涛</v>
          </cell>
          <cell r="N2579" t="str">
            <v>18121102-11</v>
          </cell>
          <cell r="Q2579">
            <v>612</v>
          </cell>
        </row>
        <row r="2580">
          <cell r="E2580" t="str">
            <v>HFMET181206A2717-90-122</v>
          </cell>
          <cell r="F2580" t="str">
            <v>Meta 55，A10</v>
          </cell>
          <cell r="G2580">
            <v>20</v>
          </cell>
          <cell r="H2580" t="str">
            <v>猪粪堆肥</v>
          </cell>
          <cell r="I2580">
            <v>624</v>
          </cell>
          <cell r="J2580">
            <v>13.89</v>
          </cell>
          <cell r="K2580">
            <v>32.26</v>
          </cell>
          <cell r="L2580" t="str">
            <v>合格</v>
          </cell>
          <cell r="M2580" t="str">
            <v>孙家孟/朱绪涛</v>
          </cell>
          <cell r="N2580" t="str">
            <v>18121102-12</v>
          </cell>
          <cell r="Q2580">
            <v>624</v>
          </cell>
        </row>
        <row r="2581">
          <cell r="E2581" t="str">
            <v>HFMET181206A2718-91-122</v>
          </cell>
          <cell r="F2581" t="str">
            <v>Meta 55，A11</v>
          </cell>
          <cell r="G2581">
            <v>20</v>
          </cell>
          <cell r="H2581" t="str">
            <v>猪粪堆肥</v>
          </cell>
          <cell r="I2581">
            <v>600</v>
          </cell>
          <cell r="J2581">
            <v>24.99</v>
          </cell>
          <cell r="K2581">
            <v>58.12</v>
          </cell>
          <cell r="L2581" t="str">
            <v>合格</v>
          </cell>
          <cell r="M2581" t="str">
            <v>孙家孟/朱绪涛</v>
          </cell>
          <cell r="N2581" t="str">
            <v>18121102-13</v>
          </cell>
          <cell r="Q2581">
            <v>600</v>
          </cell>
        </row>
        <row r="2582">
          <cell r="E2582" t="str">
            <v>HFMET181206A2719-92-122</v>
          </cell>
          <cell r="F2582" t="str">
            <v>Meta 55，A12</v>
          </cell>
          <cell r="G2582">
            <v>20</v>
          </cell>
          <cell r="H2582" t="str">
            <v>猪粪堆肥</v>
          </cell>
          <cell r="I2582">
            <v>620</v>
          </cell>
          <cell r="J2582">
            <v>23.51</v>
          </cell>
          <cell r="K2582">
            <v>53.97</v>
          </cell>
          <cell r="L2582" t="str">
            <v>合格</v>
          </cell>
          <cell r="M2582" t="str">
            <v>孙家孟/朱绪涛</v>
          </cell>
          <cell r="N2582" t="str">
            <v>18121102-14</v>
          </cell>
          <cell r="Q2582">
            <v>620</v>
          </cell>
        </row>
        <row r="2583">
          <cell r="E2583" t="str">
            <v>HFMET181206A2720-93-122</v>
          </cell>
          <cell r="F2583" t="str">
            <v>Meta 55，B01</v>
          </cell>
          <cell r="G2583">
            <v>20</v>
          </cell>
          <cell r="H2583" t="str">
            <v>猪粪堆肥</v>
          </cell>
          <cell r="I2583">
            <v>607</v>
          </cell>
          <cell r="J2583">
            <v>28.29</v>
          </cell>
          <cell r="K2583">
            <v>65.39</v>
          </cell>
          <cell r="L2583" t="str">
            <v>合格</v>
          </cell>
          <cell r="M2583" t="str">
            <v>孙家孟/朱绪涛</v>
          </cell>
          <cell r="N2583" t="str">
            <v>18121102-15</v>
          </cell>
          <cell r="Q2583">
            <v>607</v>
          </cell>
        </row>
        <row r="2584">
          <cell r="E2584" t="str">
            <v>HFMET181206A2721-94-122</v>
          </cell>
          <cell r="F2584" t="str">
            <v>Meta 55，B02</v>
          </cell>
          <cell r="G2584">
            <v>20</v>
          </cell>
          <cell r="H2584" t="str">
            <v>猪粪堆肥</v>
          </cell>
          <cell r="I2584">
            <v>625</v>
          </cell>
          <cell r="J2584">
            <v>21.05</v>
          </cell>
          <cell r="K2584">
            <v>49.11</v>
          </cell>
          <cell r="L2584" t="str">
            <v>合格</v>
          </cell>
          <cell r="M2584" t="str">
            <v>孙家孟/朱绪涛</v>
          </cell>
          <cell r="N2584" t="str">
            <v>18121102-16</v>
          </cell>
          <cell r="Q2584">
            <v>625</v>
          </cell>
        </row>
        <row r="2585">
          <cell r="E2585" t="str">
            <v>HFMET181206A2722-87-123</v>
          </cell>
          <cell r="F2585" t="str">
            <v>Meta 55，B03</v>
          </cell>
          <cell r="G2585">
            <v>20</v>
          </cell>
          <cell r="H2585" t="str">
            <v>猪粪堆肥</v>
          </cell>
          <cell r="I2585">
            <v>592</v>
          </cell>
          <cell r="J2585">
            <v>38.86</v>
          </cell>
          <cell r="K2585">
            <v>92.56</v>
          </cell>
          <cell r="L2585" t="str">
            <v>合格</v>
          </cell>
          <cell r="M2585" t="str">
            <v>孙家孟/朱绪涛</v>
          </cell>
          <cell r="N2585" t="str">
            <v>18121102-17</v>
          </cell>
          <cell r="Q2585">
            <v>592</v>
          </cell>
        </row>
        <row r="2586">
          <cell r="E2586" t="str">
            <v>HFMET181206A2723-88-123</v>
          </cell>
          <cell r="F2586" t="str">
            <v>Meta 55，B04</v>
          </cell>
          <cell r="G2586">
            <v>20</v>
          </cell>
          <cell r="H2586" t="str">
            <v>猪粪堆肥</v>
          </cell>
          <cell r="I2586">
            <v>615</v>
          </cell>
          <cell r="J2586">
            <v>19.3</v>
          </cell>
          <cell r="K2586">
            <v>45</v>
          </cell>
          <cell r="L2586" t="str">
            <v>合格</v>
          </cell>
          <cell r="M2586" t="str">
            <v>孙家孟/朱绪涛</v>
          </cell>
          <cell r="N2586" t="str">
            <v>18121102-18</v>
          </cell>
          <cell r="Q2586">
            <v>615</v>
          </cell>
        </row>
        <row r="2587">
          <cell r="E2587" t="str">
            <v>HFMET181206A2724-89-123</v>
          </cell>
          <cell r="F2587" t="str">
            <v>Meta 55，B05</v>
          </cell>
          <cell r="G2587">
            <v>20</v>
          </cell>
          <cell r="H2587" t="str">
            <v>猪粪堆肥</v>
          </cell>
          <cell r="I2587">
            <v>600</v>
          </cell>
          <cell r="J2587">
            <v>20.69</v>
          </cell>
          <cell r="K2587">
            <v>49.41</v>
          </cell>
          <cell r="L2587" t="str">
            <v>合格</v>
          </cell>
          <cell r="M2587" t="str">
            <v>孙家孟/朱绪涛</v>
          </cell>
          <cell r="N2587" t="str">
            <v>18121102-19</v>
          </cell>
          <cell r="Q2587">
            <v>600</v>
          </cell>
        </row>
        <row r="2588">
          <cell r="E2588" t="str">
            <v>HFMET181206A2725-90-123</v>
          </cell>
          <cell r="F2588" t="str">
            <v>Meta 55，B06</v>
          </cell>
          <cell r="G2588">
            <v>20</v>
          </cell>
          <cell r="H2588" t="str">
            <v>猪粪堆肥</v>
          </cell>
          <cell r="I2588">
            <v>606</v>
          </cell>
          <cell r="J2588">
            <v>26.74</v>
          </cell>
          <cell r="K2588">
            <v>63.27</v>
          </cell>
          <cell r="L2588" t="str">
            <v>合格</v>
          </cell>
          <cell r="M2588" t="str">
            <v>孙家孟/朱绪涛</v>
          </cell>
          <cell r="N2588" t="str">
            <v>18121102-20</v>
          </cell>
          <cell r="Q2588">
            <v>606</v>
          </cell>
        </row>
        <row r="2589">
          <cell r="E2589" t="str">
            <v>HFMET181206A2726-91-123</v>
          </cell>
          <cell r="F2589" t="str">
            <v>Meta 55，B07</v>
          </cell>
          <cell r="G2589">
            <v>20</v>
          </cell>
          <cell r="H2589" t="str">
            <v>猪粪堆肥</v>
          </cell>
          <cell r="I2589">
            <v>614</v>
          </cell>
          <cell r="J2589">
            <v>16.13</v>
          </cell>
          <cell r="K2589">
            <v>37.94</v>
          </cell>
          <cell r="L2589" t="str">
            <v>合格</v>
          </cell>
          <cell r="M2589" t="str">
            <v>孙家孟/朱绪涛</v>
          </cell>
          <cell r="N2589" t="str">
            <v>18121102-21</v>
          </cell>
          <cell r="Q2589">
            <v>614</v>
          </cell>
        </row>
        <row r="2590">
          <cell r="E2590" t="str">
            <v>HFMET181206A2727-92-123</v>
          </cell>
          <cell r="F2590" t="str">
            <v>Meta 55，B08</v>
          </cell>
          <cell r="G2590">
            <v>20</v>
          </cell>
          <cell r="H2590" t="str">
            <v>猪粪堆肥</v>
          </cell>
          <cell r="I2590">
            <v>621</v>
          </cell>
          <cell r="J2590">
            <v>16.53</v>
          </cell>
          <cell r="K2590">
            <v>38.43</v>
          </cell>
          <cell r="L2590" t="str">
            <v>合格</v>
          </cell>
          <cell r="M2590" t="str">
            <v>孙家孟/朱绪涛</v>
          </cell>
          <cell r="N2590" t="str">
            <v>18121102-22</v>
          </cell>
          <cell r="Q2590">
            <v>621</v>
          </cell>
        </row>
        <row r="2591">
          <cell r="E2591" t="str">
            <v>HFMET181206A2728-93-123</v>
          </cell>
          <cell r="F2591" t="str">
            <v>Meta 55，B09</v>
          </cell>
          <cell r="G2591">
            <v>20</v>
          </cell>
          <cell r="H2591" t="str">
            <v>猪粪堆肥</v>
          </cell>
          <cell r="I2591">
            <v>659</v>
          </cell>
          <cell r="J2591">
            <v>1.63</v>
          </cell>
          <cell r="K2591">
            <v>3.79</v>
          </cell>
          <cell r="L2591" t="str">
            <v>合格</v>
          </cell>
          <cell r="M2591" t="str">
            <v>孙家孟/朱绪涛</v>
          </cell>
          <cell r="N2591" t="str">
            <v>18121102-23</v>
          </cell>
          <cell r="Q2591">
            <v>659</v>
          </cell>
        </row>
        <row r="2592">
          <cell r="E2592" t="str">
            <v>HFMET181206A2729-94-123</v>
          </cell>
          <cell r="F2592" t="str">
            <v>Meta 55，B10</v>
          </cell>
          <cell r="G2592">
            <v>20</v>
          </cell>
          <cell r="H2592" t="str">
            <v>猪粪堆肥</v>
          </cell>
          <cell r="I2592">
            <v>621</v>
          </cell>
          <cell r="J2592">
            <v>19.649999999999999</v>
          </cell>
          <cell r="K2592">
            <v>45.98</v>
          </cell>
          <cell r="L2592" t="str">
            <v>合格</v>
          </cell>
          <cell r="M2592" t="str">
            <v>孙家孟/朱绪涛</v>
          </cell>
          <cell r="N2592" t="str">
            <v>18121102-24</v>
          </cell>
          <cell r="Q2592">
            <v>621</v>
          </cell>
        </row>
        <row r="2593">
          <cell r="E2593" t="str">
            <v>HFMET181206A2730-87-124</v>
          </cell>
          <cell r="F2593" t="str">
            <v>Meta 55，B11</v>
          </cell>
          <cell r="G2593">
            <v>20</v>
          </cell>
          <cell r="H2593" t="str">
            <v>猪粪堆肥</v>
          </cell>
          <cell r="I2593">
            <v>600</v>
          </cell>
          <cell r="J2593">
            <v>35.880000000000003</v>
          </cell>
          <cell r="K2593">
            <v>83.7</v>
          </cell>
          <cell r="L2593" t="str">
            <v>合格</v>
          </cell>
          <cell r="M2593" t="str">
            <v>孙家孟/朱绪涛</v>
          </cell>
          <cell r="N2593" t="str">
            <v>18121102-25</v>
          </cell>
          <cell r="Q2593">
            <v>600</v>
          </cell>
        </row>
        <row r="2594">
          <cell r="E2594" t="str">
            <v>HFMET181206A2731-88-124</v>
          </cell>
          <cell r="F2594" t="str">
            <v>Meta 55，B12</v>
          </cell>
          <cell r="G2594">
            <v>20</v>
          </cell>
          <cell r="H2594" t="str">
            <v>猪粪堆肥</v>
          </cell>
          <cell r="I2594">
            <v>602</v>
          </cell>
          <cell r="J2594">
            <v>24.43</v>
          </cell>
          <cell r="K2594">
            <v>57.44</v>
          </cell>
          <cell r="L2594" t="str">
            <v>合格</v>
          </cell>
          <cell r="M2594" t="str">
            <v>孙家孟/朱绪涛</v>
          </cell>
          <cell r="N2594" t="str">
            <v>18121102-26</v>
          </cell>
          <cell r="Q2594">
            <v>602</v>
          </cell>
        </row>
        <row r="2595">
          <cell r="E2595" t="str">
            <v>HFMET181206A2732-89-124</v>
          </cell>
          <cell r="F2595" t="str">
            <v>Meta 55，C01</v>
          </cell>
          <cell r="G2595">
            <v>20</v>
          </cell>
          <cell r="H2595" t="str">
            <v>猪粪堆肥</v>
          </cell>
          <cell r="I2595">
            <v>588</v>
          </cell>
          <cell r="J2595">
            <v>67.84</v>
          </cell>
          <cell r="K2595">
            <v>159.57</v>
          </cell>
          <cell r="L2595" t="str">
            <v>合格</v>
          </cell>
          <cell r="M2595" t="str">
            <v>孙家孟/朱绪涛</v>
          </cell>
          <cell r="N2595" t="str">
            <v>18121102-27</v>
          </cell>
          <cell r="Q2595">
            <v>588</v>
          </cell>
        </row>
        <row r="2596">
          <cell r="E2596" t="str">
            <v>HFMET181206A2733-90-124</v>
          </cell>
          <cell r="F2596" t="str">
            <v>Meta 55，C02</v>
          </cell>
          <cell r="G2596">
            <v>20</v>
          </cell>
          <cell r="H2596" t="str">
            <v>猪粪堆肥</v>
          </cell>
          <cell r="I2596">
            <v>588</v>
          </cell>
          <cell r="J2596">
            <v>60.15</v>
          </cell>
          <cell r="K2596">
            <v>143.19999999999999</v>
          </cell>
          <cell r="L2596" t="str">
            <v>合格</v>
          </cell>
          <cell r="M2596" t="str">
            <v>孙家孟/朱绪涛</v>
          </cell>
          <cell r="N2596" t="str">
            <v>18121102-28</v>
          </cell>
          <cell r="Q2596">
            <v>588</v>
          </cell>
        </row>
        <row r="2597">
          <cell r="E2597" t="str">
            <v>HFMET181206A2734-91-124</v>
          </cell>
          <cell r="F2597" t="str">
            <v>Meta 55，C03</v>
          </cell>
          <cell r="G2597">
            <v>20</v>
          </cell>
          <cell r="H2597" t="str">
            <v>猪粪堆肥</v>
          </cell>
          <cell r="I2597">
            <v>580</v>
          </cell>
          <cell r="J2597">
            <v>48.91</v>
          </cell>
          <cell r="K2597">
            <v>117.89</v>
          </cell>
          <cell r="L2597" t="str">
            <v>合格</v>
          </cell>
          <cell r="M2597" t="str">
            <v>孙家孟/朱绪涛</v>
          </cell>
          <cell r="N2597" t="str">
            <v>18121102-29</v>
          </cell>
          <cell r="Q2597">
            <v>580</v>
          </cell>
        </row>
        <row r="2598">
          <cell r="E2598" t="str">
            <v>HFMET181206A2735-92-124</v>
          </cell>
          <cell r="F2598" t="str">
            <v>Meta 55，C04</v>
          </cell>
          <cell r="G2598">
            <v>20</v>
          </cell>
          <cell r="H2598" t="str">
            <v>猪粪堆肥</v>
          </cell>
          <cell r="I2598">
            <v>589</v>
          </cell>
          <cell r="J2598">
            <v>53.49</v>
          </cell>
          <cell r="K2598">
            <v>126.81</v>
          </cell>
          <cell r="L2598" t="str">
            <v>合格</v>
          </cell>
          <cell r="M2598" t="str">
            <v>孙家孟/朱绪涛</v>
          </cell>
          <cell r="N2598" t="str">
            <v>18121102-30</v>
          </cell>
          <cell r="Q2598">
            <v>589</v>
          </cell>
        </row>
        <row r="2599">
          <cell r="E2599" t="str">
            <v>HFMET181206A2736-93-124</v>
          </cell>
          <cell r="F2599" t="str">
            <v>Meta 55，C05</v>
          </cell>
          <cell r="G2599">
            <v>20</v>
          </cell>
          <cell r="H2599" t="str">
            <v>猪粪堆肥</v>
          </cell>
          <cell r="I2599">
            <v>614</v>
          </cell>
          <cell r="J2599">
            <v>20.76</v>
          </cell>
          <cell r="K2599">
            <v>48.83</v>
          </cell>
          <cell r="L2599" t="str">
            <v>合格</v>
          </cell>
          <cell r="M2599" t="str">
            <v>孙家孟/朱绪涛</v>
          </cell>
          <cell r="N2599" t="str">
            <v>18121102-31</v>
          </cell>
          <cell r="Q2599">
            <v>614</v>
          </cell>
        </row>
        <row r="2600">
          <cell r="E2600" t="str">
            <v>HFMET181206A2737-94-124</v>
          </cell>
          <cell r="F2600" t="str">
            <v>Meta 55，C06</v>
          </cell>
          <cell r="G2600">
            <v>20</v>
          </cell>
          <cell r="H2600" t="str">
            <v>猪粪堆肥</v>
          </cell>
          <cell r="I2600">
            <v>599</v>
          </cell>
          <cell r="J2600">
            <v>36.19</v>
          </cell>
          <cell r="K2600">
            <v>86.43</v>
          </cell>
          <cell r="L2600" t="str">
            <v>合格</v>
          </cell>
          <cell r="M2600" t="str">
            <v>孙家孟/朱绪涛</v>
          </cell>
          <cell r="N2600" t="str">
            <v>18121102-32</v>
          </cell>
          <cell r="Q2600">
            <v>599</v>
          </cell>
        </row>
        <row r="2601">
          <cell r="E2601" t="str">
            <v>HFMET181206A2738-87-126</v>
          </cell>
          <cell r="F2601" t="str">
            <v>Meta 55，C07</v>
          </cell>
          <cell r="G2601">
            <v>20</v>
          </cell>
          <cell r="H2601" t="str">
            <v>猪粪堆肥</v>
          </cell>
          <cell r="I2601">
            <v>605</v>
          </cell>
          <cell r="J2601">
            <v>17.32</v>
          </cell>
          <cell r="K2601">
            <v>41.4</v>
          </cell>
          <cell r="L2601" t="str">
            <v>合格</v>
          </cell>
          <cell r="M2601" t="str">
            <v>孙家孟/朱绪涛</v>
          </cell>
          <cell r="N2601" t="str">
            <v>18121102-33</v>
          </cell>
          <cell r="Q2601">
            <v>605</v>
          </cell>
        </row>
        <row r="2602">
          <cell r="E2602" t="str">
            <v>HFMET181206A2739-88-126</v>
          </cell>
          <cell r="F2602" t="str">
            <v>Meta 55，C08</v>
          </cell>
          <cell r="G2602">
            <v>20</v>
          </cell>
          <cell r="H2602" t="str">
            <v>猪粪堆肥</v>
          </cell>
          <cell r="I2602">
            <v>616</v>
          </cell>
          <cell r="J2602">
            <v>19.8</v>
          </cell>
          <cell r="K2602">
            <v>46.41</v>
          </cell>
          <cell r="L2602" t="str">
            <v>合格</v>
          </cell>
          <cell r="M2602" t="str">
            <v>孙家孟/朱绪涛</v>
          </cell>
          <cell r="N2602" t="str">
            <v>18121102-34</v>
          </cell>
          <cell r="Q2602">
            <v>616</v>
          </cell>
        </row>
        <row r="2603">
          <cell r="E2603" t="str">
            <v>HFMET181206A2740-89-126</v>
          </cell>
          <cell r="F2603" t="str">
            <v>Meta 55，C09</v>
          </cell>
          <cell r="G2603">
            <v>20</v>
          </cell>
          <cell r="H2603" t="str">
            <v>猪粪堆肥</v>
          </cell>
          <cell r="I2603">
            <v>607</v>
          </cell>
          <cell r="J2603">
            <v>21.64</v>
          </cell>
          <cell r="K2603">
            <v>51.34</v>
          </cell>
          <cell r="L2603" t="str">
            <v>合格</v>
          </cell>
          <cell r="M2603" t="str">
            <v>孙家孟/朱绪涛</v>
          </cell>
          <cell r="N2603" t="str">
            <v>18121102-35</v>
          </cell>
          <cell r="Q2603">
            <v>607</v>
          </cell>
        </row>
        <row r="2604">
          <cell r="E2604" t="str">
            <v>HFMET181206A2741-90-126</v>
          </cell>
          <cell r="F2604" t="str">
            <v>Meta 55，C10</v>
          </cell>
          <cell r="G2604">
            <v>20</v>
          </cell>
          <cell r="H2604" t="str">
            <v>猪粪堆肥</v>
          </cell>
          <cell r="I2604">
            <v>618</v>
          </cell>
          <cell r="J2604">
            <v>15.02</v>
          </cell>
          <cell r="K2604">
            <v>35.43</v>
          </cell>
          <cell r="L2604" t="str">
            <v>合格</v>
          </cell>
          <cell r="M2604" t="str">
            <v>孙家孟/朱绪涛</v>
          </cell>
          <cell r="N2604" t="str">
            <v>18121102-36</v>
          </cell>
          <cell r="Q2604">
            <v>618</v>
          </cell>
        </row>
        <row r="2605">
          <cell r="E2605" t="str">
            <v>HFMET181206A2742-91-126</v>
          </cell>
          <cell r="F2605" t="str">
            <v>Meta 55，C11</v>
          </cell>
          <cell r="G2605">
            <v>20</v>
          </cell>
          <cell r="H2605" t="str">
            <v>猪粪堆肥</v>
          </cell>
          <cell r="I2605">
            <v>640</v>
          </cell>
          <cell r="J2605">
            <v>11.43</v>
          </cell>
          <cell r="K2605">
            <v>25.7</v>
          </cell>
          <cell r="L2605" t="str">
            <v>合格</v>
          </cell>
          <cell r="M2605" t="str">
            <v>孙家孟/朱绪涛</v>
          </cell>
          <cell r="N2605" t="str">
            <v>18121102-37</v>
          </cell>
          <cell r="Q2605">
            <v>640</v>
          </cell>
        </row>
        <row r="2606">
          <cell r="E2606" t="str">
            <v>HFMET181206A2743-92-126</v>
          </cell>
          <cell r="F2606" t="str">
            <v>Meta 55，C12</v>
          </cell>
          <cell r="G2606">
            <v>20</v>
          </cell>
          <cell r="H2606" t="str">
            <v>猪粪堆肥</v>
          </cell>
          <cell r="I2606">
            <v>616</v>
          </cell>
          <cell r="J2606">
            <v>23.25</v>
          </cell>
          <cell r="K2606">
            <v>54.21</v>
          </cell>
          <cell r="L2606" t="str">
            <v>合格</v>
          </cell>
          <cell r="M2606" t="str">
            <v>孙家孟/朱绪涛</v>
          </cell>
          <cell r="N2606" t="str">
            <v>18121102-38</v>
          </cell>
          <cell r="Q2606">
            <v>616</v>
          </cell>
        </row>
        <row r="2607">
          <cell r="E2607" t="str">
            <v>HFMET181206A2744-93-126</v>
          </cell>
          <cell r="F2607" t="str">
            <v>Meta 55，D01</v>
          </cell>
          <cell r="G2607">
            <v>20</v>
          </cell>
          <cell r="H2607" t="str">
            <v>猪粪堆肥</v>
          </cell>
          <cell r="I2607">
            <v>639</v>
          </cell>
          <cell r="J2607">
            <v>13.57</v>
          </cell>
          <cell r="K2607">
            <v>31.16</v>
          </cell>
          <cell r="L2607" t="str">
            <v>合格</v>
          </cell>
          <cell r="M2607" t="str">
            <v>孙家孟/朱绪涛</v>
          </cell>
          <cell r="N2607" t="str">
            <v>18121102-39</v>
          </cell>
          <cell r="Q2607">
            <v>639</v>
          </cell>
        </row>
        <row r="2608">
          <cell r="E2608" t="str">
            <v>HFMET181206A2745-94-126</v>
          </cell>
          <cell r="F2608" t="str">
            <v>Meta 55，D02</v>
          </cell>
          <cell r="G2608">
            <v>20</v>
          </cell>
          <cell r="H2608" t="str">
            <v>猪粪堆肥</v>
          </cell>
          <cell r="I2608">
            <v>641</v>
          </cell>
          <cell r="J2608">
            <v>11.47</v>
          </cell>
          <cell r="K2608">
            <v>26.33</v>
          </cell>
          <cell r="L2608" t="str">
            <v>合格</v>
          </cell>
          <cell r="M2608" t="str">
            <v>孙家孟/朱绪涛</v>
          </cell>
          <cell r="N2608" t="str">
            <v>18121102-40</v>
          </cell>
          <cell r="Q2608">
            <v>641</v>
          </cell>
        </row>
        <row r="2609">
          <cell r="E2609" t="str">
            <v>HFMET181206A2746-87-129</v>
          </cell>
          <cell r="F2609" t="str">
            <v>Meta 55，D03</v>
          </cell>
          <cell r="G2609">
            <v>20</v>
          </cell>
          <cell r="H2609" t="str">
            <v>猪粪堆肥</v>
          </cell>
          <cell r="I2609">
            <v>606</v>
          </cell>
          <cell r="J2609">
            <v>20.22</v>
          </cell>
          <cell r="K2609">
            <v>47.69</v>
          </cell>
          <cell r="L2609" t="str">
            <v>合格</v>
          </cell>
          <cell r="M2609" t="str">
            <v>孙家孟/朱绪涛</v>
          </cell>
          <cell r="N2609" t="str">
            <v>18121102-41</v>
          </cell>
          <cell r="Q2609">
            <v>606</v>
          </cell>
        </row>
        <row r="2610">
          <cell r="E2610" t="str">
            <v>HFMET181206A2747-88-129</v>
          </cell>
          <cell r="F2610" t="str">
            <v>Meta 55，D04</v>
          </cell>
          <cell r="G2610">
            <v>20</v>
          </cell>
          <cell r="H2610" t="str">
            <v>猪粪堆肥</v>
          </cell>
          <cell r="I2610">
            <v>628</v>
          </cell>
          <cell r="J2610">
            <v>14.36</v>
          </cell>
          <cell r="K2610">
            <v>33.07</v>
          </cell>
          <cell r="L2610" t="str">
            <v>合格</v>
          </cell>
          <cell r="M2610" t="str">
            <v>孙家孟/朱绪涛</v>
          </cell>
          <cell r="N2610" t="str">
            <v>18121102-42</v>
          </cell>
          <cell r="Q2610">
            <v>628</v>
          </cell>
        </row>
        <row r="2611">
          <cell r="E2611" t="str">
            <v>HFMET181206A2748-89-129</v>
          </cell>
          <cell r="F2611" t="str">
            <v>Meta 55，D05</v>
          </cell>
          <cell r="G2611">
            <v>20</v>
          </cell>
          <cell r="H2611" t="str">
            <v>猪粪堆肥</v>
          </cell>
          <cell r="I2611">
            <v>610</v>
          </cell>
          <cell r="J2611">
            <v>19.18</v>
          </cell>
          <cell r="K2611">
            <v>45.1</v>
          </cell>
          <cell r="L2611" t="str">
            <v>合格</v>
          </cell>
          <cell r="M2611" t="str">
            <v>孙家孟/朱绪涛</v>
          </cell>
          <cell r="N2611" t="str">
            <v>18121102-43</v>
          </cell>
          <cell r="Q2611">
            <v>610</v>
          </cell>
        </row>
        <row r="2612">
          <cell r="E2612" t="str">
            <v>HFMET181206A2749-90-129</v>
          </cell>
          <cell r="F2612" t="str">
            <v>Meta 55，D06</v>
          </cell>
          <cell r="G2612">
            <v>20</v>
          </cell>
          <cell r="H2612" t="str">
            <v>猪粪堆肥</v>
          </cell>
          <cell r="I2612">
            <v>619</v>
          </cell>
          <cell r="J2612">
            <v>14.18</v>
          </cell>
          <cell r="K2612">
            <v>33.270000000000003</v>
          </cell>
          <cell r="L2612" t="str">
            <v>合格</v>
          </cell>
          <cell r="M2612" t="str">
            <v>孙家孟/朱绪涛</v>
          </cell>
          <cell r="N2612" t="str">
            <v>18121102-44</v>
          </cell>
          <cell r="Q2612">
            <v>619</v>
          </cell>
        </row>
        <row r="2613">
          <cell r="E2613" t="str">
            <v>HFMET181206A2750-91-129</v>
          </cell>
          <cell r="F2613" t="str">
            <v>Meta 55，D07</v>
          </cell>
          <cell r="G2613">
            <v>20</v>
          </cell>
          <cell r="H2613" t="str">
            <v>猪粪堆肥</v>
          </cell>
          <cell r="I2613">
            <v>624</v>
          </cell>
          <cell r="J2613">
            <v>16.32</v>
          </cell>
          <cell r="K2613">
            <v>37.76</v>
          </cell>
          <cell r="L2613" t="str">
            <v>合格</v>
          </cell>
          <cell r="M2613" t="str">
            <v>孙家孟/朱绪涛</v>
          </cell>
          <cell r="N2613" t="str">
            <v>18121102-45</v>
          </cell>
          <cell r="Q2613">
            <v>624</v>
          </cell>
        </row>
        <row r="2614">
          <cell r="E2614" t="str">
            <v>HFMET181206A2751-92-129</v>
          </cell>
          <cell r="F2614" t="str">
            <v>Meta 55，D08</v>
          </cell>
          <cell r="G2614">
            <v>20</v>
          </cell>
          <cell r="H2614" t="str">
            <v>猪粪堆肥</v>
          </cell>
          <cell r="I2614">
            <v>629</v>
          </cell>
          <cell r="J2614">
            <v>25.98</v>
          </cell>
          <cell r="K2614">
            <v>60.7</v>
          </cell>
          <cell r="L2614" t="str">
            <v>合格</v>
          </cell>
          <cell r="M2614" t="str">
            <v>孙家孟/朱绪涛</v>
          </cell>
          <cell r="N2614" t="str">
            <v>18121102-46</v>
          </cell>
          <cell r="Q2614">
            <v>629</v>
          </cell>
        </row>
        <row r="2615">
          <cell r="E2615" t="str">
            <v>HFMET181206A2752-93-129</v>
          </cell>
          <cell r="F2615" t="str">
            <v>Meta 55，D09</v>
          </cell>
          <cell r="G2615">
            <v>20</v>
          </cell>
          <cell r="H2615" t="str">
            <v>猪粪堆肥</v>
          </cell>
          <cell r="I2615">
            <v>639</v>
          </cell>
          <cell r="J2615">
            <v>13.1</v>
          </cell>
          <cell r="K2615">
            <v>30.12</v>
          </cell>
          <cell r="L2615" t="str">
            <v>合格</v>
          </cell>
          <cell r="M2615" t="str">
            <v>孙家孟/朱绪涛</v>
          </cell>
          <cell r="N2615" t="str">
            <v>18121102-47</v>
          </cell>
          <cell r="Q2615">
            <v>639</v>
          </cell>
        </row>
        <row r="2616">
          <cell r="E2616" t="str">
            <v>HFMET181206A2753-94-129</v>
          </cell>
          <cell r="F2616" t="str">
            <v>Meta 55，D10</v>
          </cell>
          <cell r="G2616">
            <v>20</v>
          </cell>
          <cell r="H2616" t="str">
            <v>猪粪堆肥</v>
          </cell>
          <cell r="I2616">
            <v>619</v>
          </cell>
          <cell r="J2616">
            <v>18.29</v>
          </cell>
          <cell r="K2616">
            <v>43.03</v>
          </cell>
          <cell r="L2616" t="str">
            <v>合格</v>
          </cell>
          <cell r="M2616" t="str">
            <v>孙家孟/朱绪涛</v>
          </cell>
          <cell r="N2616" t="str">
            <v>18121102-48</v>
          </cell>
          <cell r="Q2616">
            <v>619</v>
          </cell>
        </row>
        <row r="2617">
          <cell r="E2617" t="str">
            <v>HFMET181206A2754-87-130</v>
          </cell>
          <cell r="F2617" t="str">
            <v>Meta 55，D11</v>
          </cell>
          <cell r="G2617">
            <v>20</v>
          </cell>
          <cell r="H2617" t="str">
            <v>牛粪堆肥</v>
          </cell>
          <cell r="I2617">
            <v>636</v>
          </cell>
          <cell r="J2617">
            <v>40.93</v>
          </cell>
          <cell r="K2617">
            <v>91.46</v>
          </cell>
          <cell r="L2617" t="str">
            <v>合格</v>
          </cell>
          <cell r="M2617" t="str">
            <v>孙家孟/朱绪涛</v>
          </cell>
          <cell r="N2617" t="str">
            <v>18121102-49</v>
          </cell>
          <cell r="Q2617">
            <v>636</v>
          </cell>
        </row>
        <row r="2618">
          <cell r="E2618" t="str">
            <v>HFMET181206A2755-88-130</v>
          </cell>
          <cell r="F2618" t="str">
            <v>Meta 55，D12</v>
          </cell>
          <cell r="G2618">
            <v>20</v>
          </cell>
          <cell r="H2618" t="str">
            <v>牛粪堆肥</v>
          </cell>
          <cell r="I2618">
            <v>650</v>
          </cell>
          <cell r="J2618">
            <v>17.57</v>
          </cell>
          <cell r="K2618">
            <v>38.58</v>
          </cell>
          <cell r="L2618" t="str">
            <v>合格</v>
          </cell>
          <cell r="M2618" t="str">
            <v>孙家孟/朱绪涛</v>
          </cell>
          <cell r="N2618" t="str">
            <v>18121102-50</v>
          </cell>
          <cell r="Q2618">
            <v>650</v>
          </cell>
        </row>
        <row r="2619">
          <cell r="E2619" t="str">
            <v>HFMET181206A2756-89-130</v>
          </cell>
          <cell r="F2619" t="str">
            <v>Meta 55，E01</v>
          </cell>
          <cell r="G2619">
            <v>20</v>
          </cell>
          <cell r="H2619" t="str">
            <v>牛粪堆肥</v>
          </cell>
          <cell r="I2619">
            <v>633</v>
          </cell>
          <cell r="J2619">
            <v>40.11</v>
          </cell>
          <cell r="K2619">
            <v>90.29</v>
          </cell>
          <cell r="L2619" t="str">
            <v>合格</v>
          </cell>
          <cell r="M2619" t="str">
            <v>孙家孟/朱绪涛</v>
          </cell>
          <cell r="N2619" t="str">
            <v>18121102-51</v>
          </cell>
          <cell r="Q2619">
            <v>633</v>
          </cell>
        </row>
        <row r="2620">
          <cell r="E2620" t="str">
            <v>HFMET181206A2757-90-130</v>
          </cell>
          <cell r="F2620" t="str">
            <v>Meta 55，E02</v>
          </cell>
          <cell r="G2620">
            <v>20</v>
          </cell>
          <cell r="H2620" t="str">
            <v>牛粪堆肥</v>
          </cell>
          <cell r="I2620">
            <v>649</v>
          </cell>
          <cell r="J2620">
            <v>12.28</v>
          </cell>
          <cell r="K2620">
            <v>27.19</v>
          </cell>
          <cell r="L2620" t="str">
            <v>合格</v>
          </cell>
          <cell r="M2620" t="str">
            <v>孙家孟/朱绪涛</v>
          </cell>
          <cell r="N2620" t="str">
            <v>18121102-52</v>
          </cell>
          <cell r="Q2620">
            <v>649</v>
          </cell>
        </row>
        <row r="2621">
          <cell r="E2621" t="str">
            <v>HFMET181206A2758-91-130</v>
          </cell>
          <cell r="F2621" t="str">
            <v>Meta 55，E03</v>
          </cell>
          <cell r="G2621">
            <v>20</v>
          </cell>
          <cell r="H2621" t="str">
            <v>牛粪堆肥</v>
          </cell>
          <cell r="I2621">
            <v>656</v>
          </cell>
          <cell r="J2621">
            <v>14.96</v>
          </cell>
          <cell r="K2621">
            <v>32.25</v>
          </cell>
          <cell r="L2621" t="str">
            <v>合格</v>
          </cell>
          <cell r="M2621" t="str">
            <v>孙家孟/朱绪涛</v>
          </cell>
          <cell r="N2621" t="str">
            <v>18121102-53</v>
          </cell>
          <cell r="Q2621">
            <v>656</v>
          </cell>
        </row>
        <row r="2622">
          <cell r="E2622" t="str">
            <v>HFMET181206A2759-92-130</v>
          </cell>
          <cell r="F2622" t="str">
            <v>Meta 55，E04</v>
          </cell>
          <cell r="G2622">
            <v>20</v>
          </cell>
          <cell r="H2622" t="str">
            <v>牛粪堆肥</v>
          </cell>
          <cell r="I2622">
            <v>650</v>
          </cell>
          <cell r="J2622">
            <v>15.56</v>
          </cell>
          <cell r="K2622">
            <v>33.979999999999997</v>
          </cell>
          <cell r="L2622" t="str">
            <v>合格</v>
          </cell>
          <cell r="M2622" t="str">
            <v>孙家孟/朱绪涛</v>
          </cell>
          <cell r="N2622" t="str">
            <v>18121102-54</v>
          </cell>
          <cell r="Q2622">
            <v>650</v>
          </cell>
        </row>
        <row r="2623">
          <cell r="E2623" t="str">
            <v>HFMET181206A2760-93-130</v>
          </cell>
          <cell r="F2623" t="str">
            <v>Meta 55，E05</v>
          </cell>
          <cell r="G2623">
            <v>20</v>
          </cell>
          <cell r="H2623" t="str">
            <v>牛粪堆肥</v>
          </cell>
          <cell r="I2623">
            <v>646</v>
          </cell>
          <cell r="J2623">
            <v>11.94</v>
          </cell>
          <cell r="K2623">
            <v>26.84</v>
          </cell>
          <cell r="L2623" t="str">
            <v>合格</v>
          </cell>
          <cell r="M2623" t="str">
            <v>孙家孟/朱绪涛</v>
          </cell>
          <cell r="N2623" t="str">
            <v>18121102-55</v>
          </cell>
          <cell r="Q2623">
            <v>646</v>
          </cell>
        </row>
        <row r="2624">
          <cell r="E2624" t="str">
            <v>HFMET181206A2761-94-130</v>
          </cell>
          <cell r="F2624" t="str">
            <v>Meta 55，E06</v>
          </cell>
          <cell r="G2624">
            <v>20</v>
          </cell>
          <cell r="H2624" t="str">
            <v>牛粪堆肥</v>
          </cell>
          <cell r="I2624">
            <v>652</v>
          </cell>
          <cell r="J2624">
            <v>24.72</v>
          </cell>
          <cell r="K2624">
            <v>53.75</v>
          </cell>
          <cell r="L2624" t="str">
            <v>合格</v>
          </cell>
          <cell r="M2624" t="str">
            <v>孙家孟/朱绪涛</v>
          </cell>
          <cell r="N2624" t="str">
            <v>18121102-56</v>
          </cell>
          <cell r="Q2624">
            <v>652</v>
          </cell>
        </row>
        <row r="2625">
          <cell r="E2625" t="str">
            <v>HFMET181206A2762-87-131</v>
          </cell>
          <cell r="F2625" t="str">
            <v>Meta 55，E07</v>
          </cell>
          <cell r="G2625">
            <v>20</v>
          </cell>
          <cell r="H2625" t="str">
            <v>牛粪堆肥</v>
          </cell>
          <cell r="I2625">
            <v>652</v>
          </cell>
          <cell r="J2625">
            <v>17.440000000000001</v>
          </cell>
          <cell r="K2625">
            <v>38.07</v>
          </cell>
          <cell r="L2625" t="str">
            <v>合格</v>
          </cell>
          <cell r="M2625" t="str">
            <v>孙家孟/朱绪涛</v>
          </cell>
          <cell r="N2625" t="str">
            <v>18121102-57</v>
          </cell>
          <cell r="Q2625">
            <v>652</v>
          </cell>
        </row>
        <row r="2626">
          <cell r="E2626" t="str">
            <v>HFMET181206A2763-88-131</v>
          </cell>
          <cell r="F2626" t="str">
            <v>Meta 55，E08</v>
          </cell>
          <cell r="G2626">
            <v>20</v>
          </cell>
          <cell r="H2626" t="str">
            <v>牛粪堆肥</v>
          </cell>
          <cell r="I2626">
            <v>617</v>
          </cell>
          <cell r="J2626">
            <v>19.760000000000002</v>
          </cell>
          <cell r="K2626">
            <v>45.79</v>
          </cell>
          <cell r="L2626" t="str">
            <v>合格</v>
          </cell>
          <cell r="M2626" t="str">
            <v>孙家孟/朱绪涛</v>
          </cell>
          <cell r="N2626" t="str">
            <v>18121102-58</v>
          </cell>
          <cell r="Q2626">
            <v>617</v>
          </cell>
        </row>
        <row r="2627">
          <cell r="E2627" t="str">
            <v>HFMET181206A2764-89-131</v>
          </cell>
          <cell r="F2627" t="str">
            <v>Meta 55，E09</v>
          </cell>
          <cell r="G2627">
            <v>20</v>
          </cell>
          <cell r="H2627" t="str">
            <v>牛粪堆肥</v>
          </cell>
          <cell r="I2627">
            <v>657</v>
          </cell>
          <cell r="J2627">
            <v>13.04</v>
          </cell>
          <cell r="K2627">
            <v>28.68</v>
          </cell>
          <cell r="L2627" t="str">
            <v>合格</v>
          </cell>
          <cell r="M2627" t="str">
            <v>孙家孟/朱绪涛</v>
          </cell>
          <cell r="N2627" t="str">
            <v>18121102-59</v>
          </cell>
          <cell r="Q2627">
            <v>657</v>
          </cell>
        </row>
        <row r="2628">
          <cell r="E2628" t="str">
            <v>HFMET181206A2765-90-131</v>
          </cell>
          <cell r="F2628" t="str">
            <v>Meta 55，E10</v>
          </cell>
          <cell r="G2628">
            <v>20</v>
          </cell>
          <cell r="H2628" t="str">
            <v>牛粪堆肥</v>
          </cell>
          <cell r="I2628">
            <v>647</v>
          </cell>
          <cell r="J2628">
            <v>18.68</v>
          </cell>
          <cell r="K2628">
            <v>40.840000000000003</v>
          </cell>
          <cell r="L2628" t="str">
            <v>合格</v>
          </cell>
          <cell r="M2628" t="str">
            <v>孙家孟/朱绪涛</v>
          </cell>
          <cell r="N2628" t="str">
            <v>18121102-60</v>
          </cell>
          <cell r="Q2628">
            <v>647</v>
          </cell>
        </row>
        <row r="2629">
          <cell r="E2629" t="str">
            <v>HFMET181206A2766-91-131</v>
          </cell>
          <cell r="F2629" t="str">
            <v>Meta 55，E11</v>
          </cell>
          <cell r="G2629">
            <v>20</v>
          </cell>
          <cell r="H2629" t="str">
            <v>牛粪堆肥</v>
          </cell>
          <cell r="I2629">
            <v>660</v>
          </cell>
          <cell r="J2629">
            <v>12.89</v>
          </cell>
          <cell r="K2629">
            <v>28.29</v>
          </cell>
          <cell r="L2629" t="str">
            <v>合格</v>
          </cell>
          <cell r="M2629" t="str">
            <v>孙家孟/朱绪涛</v>
          </cell>
          <cell r="N2629" t="str">
            <v>18121102-61</v>
          </cell>
          <cell r="Q2629">
            <v>660</v>
          </cell>
        </row>
        <row r="2630">
          <cell r="E2630" t="str">
            <v>HFMET181206A2767-92-131</v>
          </cell>
          <cell r="F2630" t="str">
            <v>Meta 55，E12</v>
          </cell>
          <cell r="G2630">
            <v>20</v>
          </cell>
          <cell r="H2630" t="str">
            <v>牛粪堆肥</v>
          </cell>
          <cell r="I2630">
            <v>642</v>
          </cell>
          <cell r="J2630">
            <v>47.41</v>
          </cell>
          <cell r="K2630">
            <v>105.23</v>
          </cell>
          <cell r="L2630" t="str">
            <v>合格</v>
          </cell>
          <cell r="M2630" t="str">
            <v>孙家孟/朱绪涛</v>
          </cell>
          <cell r="N2630" t="str">
            <v>18121102-62</v>
          </cell>
          <cell r="Q2630">
            <v>642</v>
          </cell>
        </row>
        <row r="2631">
          <cell r="E2631" t="str">
            <v>HFMET181206A2768-93-131</v>
          </cell>
          <cell r="F2631" t="str">
            <v>Meta 55，F01</v>
          </cell>
          <cell r="G2631">
            <v>20</v>
          </cell>
          <cell r="H2631" t="str">
            <v>牛粪堆肥</v>
          </cell>
          <cell r="I2631">
            <v>666</v>
          </cell>
          <cell r="J2631">
            <v>14.34</v>
          </cell>
          <cell r="K2631">
            <v>30.96</v>
          </cell>
          <cell r="L2631" t="str">
            <v>合格</v>
          </cell>
          <cell r="M2631" t="str">
            <v>孙家孟/朱绪涛</v>
          </cell>
          <cell r="N2631" t="str">
            <v>18121102-63</v>
          </cell>
          <cell r="Q2631">
            <v>666</v>
          </cell>
        </row>
        <row r="2632">
          <cell r="E2632" t="str">
            <v>HFMET181206A2769-94-131</v>
          </cell>
          <cell r="F2632" t="str">
            <v>Meta 55，F02</v>
          </cell>
          <cell r="G2632">
            <v>20</v>
          </cell>
          <cell r="H2632" t="str">
            <v>牛粪堆肥</v>
          </cell>
          <cell r="I2632">
            <v>665</v>
          </cell>
          <cell r="J2632">
            <v>13.14</v>
          </cell>
          <cell r="K2632">
            <v>28.83</v>
          </cell>
          <cell r="L2632" t="str">
            <v>合格</v>
          </cell>
          <cell r="M2632" t="str">
            <v>孙家孟/朱绪涛</v>
          </cell>
          <cell r="N2632" t="str">
            <v>18121102-64</v>
          </cell>
          <cell r="Q2632">
            <v>665</v>
          </cell>
        </row>
        <row r="2633">
          <cell r="E2633" t="str">
            <v>HFMET181206A2770-87-132</v>
          </cell>
          <cell r="F2633" t="str">
            <v>Meta 55，F03</v>
          </cell>
          <cell r="G2633">
            <v>20</v>
          </cell>
          <cell r="H2633" t="str">
            <v>牛粪堆肥</v>
          </cell>
          <cell r="I2633">
            <v>675</v>
          </cell>
          <cell r="J2633">
            <v>21.5</v>
          </cell>
          <cell r="K2633">
            <v>45.8</v>
          </cell>
          <cell r="L2633" t="str">
            <v>合格</v>
          </cell>
          <cell r="M2633" t="str">
            <v>孙家孟/朱绪涛</v>
          </cell>
          <cell r="N2633" t="str">
            <v>18121102-65</v>
          </cell>
          <cell r="Q2633">
            <v>675</v>
          </cell>
        </row>
        <row r="2634">
          <cell r="E2634" t="str">
            <v>HFMET181206A2771-88-132</v>
          </cell>
          <cell r="F2634" t="str">
            <v>Meta 55，F04</v>
          </cell>
          <cell r="G2634">
            <v>20</v>
          </cell>
          <cell r="H2634" t="str">
            <v>牛粪堆肥</v>
          </cell>
          <cell r="I2634">
            <v>674</v>
          </cell>
          <cell r="J2634">
            <v>13.56</v>
          </cell>
          <cell r="K2634">
            <v>29.03</v>
          </cell>
          <cell r="L2634" t="str">
            <v>合格</v>
          </cell>
          <cell r="M2634" t="str">
            <v>孙家孟/朱绪涛</v>
          </cell>
          <cell r="N2634" t="str">
            <v>18121102-66</v>
          </cell>
          <cell r="Q2634">
            <v>674</v>
          </cell>
        </row>
        <row r="2635">
          <cell r="E2635" t="str">
            <v>HFMET181206A2772-89-132</v>
          </cell>
          <cell r="F2635" t="str">
            <v>Meta 55，F05</v>
          </cell>
          <cell r="G2635">
            <v>20</v>
          </cell>
          <cell r="H2635" t="str">
            <v>牛粪堆肥</v>
          </cell>
          <cell r="I2635">
            <v>678</v>
          </cell>
          <cell r="J2635">
            <v>15.77</v>
          </cell>
          <cell r="K2635">
            <v>33.369999999999997</v>
          </cell>
          <cell r="L2635" t="str">
            <v>合格</v>
          </cell>
          <cell r="M2635" t="str">
            <v>孙家孟/朱绪涛</v>
          </cell>
          <cell r="N2635" t="str">
            <v>18121102-67</v>
          </cell>
          <cell r="Q2635">
            <v>678</v>
          </cell>
        </row>
        <row r="2636">
          <cell r="E2636" t="str">
            <v>HFMET181206A2773-90-132</v>
          </cell>
          <cell r="F2636" t="str">
            <v>Meta 55，F06</v>
          </cell>
          <cell r="G2636">
            <v>20</v>
          </cell>
          <cell r="H2636" t="str">
            <v>牛粪堆肥</v>
          </cell>
          <cell r="I2636">
            <v>682</v>
          </cell>
          <cell r="J2636">
            <v>15.86</v>
          </cell>
          <cell r="K2636">
            <v>33.76</v>
          </cell>
          <cell r="L2636" t="str">
            <v>合格</v>
          </cell>
          <cell r="M2636" t="str">
            <v>孙家孟/朱绪涛</v>
          </cell>
          <cell r="N2636" t="str">
            <v>18121102-68</v>
          </cell>
          <cell r="Q2636">
            <v>682</v>
          </cell>
        </row>
        <row r="2637">
          <cell r="E2637" t="str">
            <v>HFMET181206A2774-91-132</v>
          </cell>
          <cell r="F2637" t="str">
            <v>Meta 55，F07</v>
          </cell>
          <cell r="G2637">
            <v>20</v>
          </cell>
          <cell r="H2637" t="str">
            <v>牛粪堆肥</v>
          </cell>
          <cell r="I2637">
            <v>681</v>
          </cell>
          <cell r="J2637">
            <v>3.58</v>
          </cell>
          <cell r="K2637">
            <v>7.65</v>
          </cell>
          <cell r="L2637" t="str">
            <v>合格</v>
          </cell>
          <cell r="M2637" t="str">
            <v>孙家孟/朱绪涛</v>
          </cell>
          <cell r="N2637" t="str">
            <v>18121102-69</v>
          </cell>
          <cell r="Q2637">
            <v>681</v>
          </cell>
        </row>
        <row r="2638">
          <cell r="E2638" t="str">
            <v>HFMET181206A2775-92-132</v>
          </cell>
          <cell r="F2638" t="str">
            <v>Meta 55，F08</v>
          </cell>
          <cell r="G2638">
            <v>20</v>
          </cell>
          <cell r="H2638" t="str">
            <v>牛粪堆肥</v>
          </cell>
          <cell r="I2638">
            <v>667</v>
          </cell>
          <cell r="J2638">
            <v>13.82</v>
          </cell>
          <cell r="K2638">
            <v>29.81</v>
          </cell>
          <cell r="L2638" t="str">
            <v>合格</v>
          </cell>
          <cell r="M2638" t="str">
            <v>孙家孟/朱绪涛</v>
          </cell>
          <cell r="N2638" t="str">
            <v>18121102-70</v>
          </cell>
          <cell r="Q2638">
            <v>667</v>
          </cell>
        </row>
        <row r="2639">
          <cell r="E2639" t="str">
            <v>HFMET181206A2776-93-132</v>
          </cell>
          <cell r="F2639" t="str">
            <v>Meta 55，F09</v>
          </cell>
          <cell r="G2639">
            <v>20</v>
          </cell>
          <cell r="H2639" t="str">
            <v>牛粪堆肥</v>
          </cell>
          <cell r="I2639">
            <v>658</v>
          </cell>
          <cell r="J2639">
            <v>29.04</v>
          </cell>
          <cell r="K2639">
            <v>63.75</v>
          </cell>
          <cell r="L2639" t="str">
            <v>合格</v>
          </cell>
          <cell r="M2639" t="str">
            <v>孙家孟/朱绪涛</v>
          </cell>
          <cell r="N2639" t="str">
            <v>18121102-71</v>
          </cell>
          <cell r="Q2639">
            <v>658</v>
          </cell>
        </row>
        <row r="2640">
          <cell r="E2640" t="str">
            <v>HFMET181206A2777-94-132</v>
          </cell>
          <cell r="F2640" t="str">
            <v>Meta 55，F10</v>
          </cell>
          <cell r="G2640">
            <v>20</v>
          </cell>
          <cell r="H2640" t="str">
            <v>牛粪堆肥</v>
          </cell>
          <cell r="I2640">
            <v>776</v>
          </cell>
          <cell r="J2640">
            <v>11.27</v>
          </cell>
          <cell r="K2640">
            <v>22.08</v>
          </cell>
          <cell r="L2640" t="str">
            <v>合格</v>
          </cell>
          <cell r="M2640" t="str">
            <v>孙家孟/朱绪涛</v>
          </cell>
          <cell r="N2640" t="str">
            <v>18121102-72</v>
          </cell>
          <cell r="Q2640">
            <v>776</v>
          </cell>
        </row>
        <row r="2641">
          <cell r="E2641" t="str">
            <v>HFMET181206A2778-87-135</v>
          </cell>
          <cell r="F2641" t="str">
            <v>Meta 55，F11</v>
          </cell>
          <cell r="G2641">
            <v>20</v>
          </cell>
          <cell r="H2641" t="str">
            <v>牛粪堆肥</v>
          </cell>
          <cell r="I2641">
            <v>628</v>
          </cell>
          <cell r="J2641">
            <v>16.77</v>
          </cell>
          <cell r="K2641">
            <v>38.479999999999997</v>
          </cell>
          <cell r="L2641" t="str">
            <v>合格</v>
          </cell>
          <cell r="M2641" t="str">
            <v>孙家孟/朱绪涛</v>
          </cell>
          <cell r="N2641" t="str">
            <v>18121102-73</v>
          </cell>
          <cell r="Q2641">
            <v>628</v>
          </cell>
        </row>
        <row r="2642">
          <cell r="E2642" t="str">
            <v>HFMET181206A2779-88-135</v>
          </cell>
          <cell r="F2642" t="str">
            <v>Meta 55，F12</v>
          </cell>
          <cell r="G2642">
            <v>20</v>
          </cell>
          <cell r="H2642" t="str">
            <v>牛粪堆肥</v>
          </cell>
          <cell r="I2642">
            <v>636</v>
          </cell>
          <cell r="J2642">
            <v>16.91</v>
          </cell>
          <cell r="K2642">
            <v>38.619999999999997</v>
          </cell>
          <cell r="L2642" t="str">
            <v>合格</v>
          </cell>
          <cell r="M2642" t="str">
            <v>孙家孟/朱绪涛</v>
          </cell>
          <cell r="N2642" t="str">
            <v>18121102-74</v>
          </cell>
          <cell r="Q2642">
            <v>636</v>
          </cell>
        </row>
        <row r="2643">
          <cell r="E2643" t="str">
            <v>HFMET181206A2780-89-135</v>
          </cell>
          <cell r="F2643" t="str">
            <v>Meta 55，G01</v>
          </cell>
          <cell r="G2643">
            <v>20</v>
          </cell>
          <cell r="H2643" t="str">
            <v>牛粪堆肥</v>
          </cell>
          <cell r="I2643">
            <v>631</v>
          </cell>
          <cell r="J2643">
            <v>17.62</v>
          </cell>
          <cell r="K2643">
            <v>40.26</v>
          </cell>
          <cell r="L2643" t="str">
            <v>合格</v>
          </cell>
          <cell r="M2643" t="str">
            <v>孙家孟/朱绪涛</v>
          </cell>
          <cell r="N2643" t="str">
            <v>18121102-75</v>
          </cell>
          <cell r="Q2643">
            <v>631</v>
          </cell>
        </row>
        <row r="2644">
          <cell r="E2644" t="str">
            <v>HFMET181206A2781-90-135</v>
          </cell>
          <cell r="F2644" t="str">
            <v>Meta 55，G02</v>
          </cell>
          <cell r="G2644">
            <v>20</v>
          </cell>
          <cell r="H2644" t="str">
            <v>牛粪堆肥</v>
          </cell>
          <cell r="I2644">
            <v>633</v>
          </cell>
          <cell r="J2644">
            <v>10.3</v>
          </cell>
          <cell r="K2644">
            <v>23.74</v>
          </cell>
          <cell r="L2644" t="str">
            <v>合格</v>
          </cell>
          <cell r="M2644" t="str">
            <v>孙家孟/朱绪涛</v>
          </cell>
          <cell r="N2644" t="str">
            <v>18121102-76</v>
          </cell>
          <cell r="Q2644">
            <v>633</v>
          </cell>
        </row>
        <row r="2645">
          <cell r="E2645" t="str">
            <v>HFMET181206A2782-91-135</v>
          </cell>
          <cell r="F2645" t="str">
            <v>Meta 55，G03</v>
          </cell>
          <cell r="G2645">
            <v>20</v>
          </cell>
          <cell r="H2645" t="str">
            <v>牛粪堆肥</v>
          </cell>
          <cell r="I2645">
            <v>642</v>
          </cell>
          <cell r="J2645">
            <v>13.56</v>
          </cell>
          <cell r="K2645">
            <v>30.53</v>
          </cell>
          <cell r="L2645" t="str">
            <v>合格</v>
          </cell>
          <cell r="M2645" t="str">
            <v>孙家孟/朱绪涛</v>
          </cell>
          <cell r="N2645" t="str">
            <v>18121102-77</v>
          </cell>
          <cell r="Q2645">
            <v>642</v>
          </cell>
        </row>
        <row r="2646">
          <cell r="E2646" t="str">
            <v>HFMET181206A2783-92-135</v>
          </cell>
          <cell r="F2646" t="str">
            <v>Meta 55，G04</v>
          </cell>
          <cell r="G2646">
            <v>20</v>
          </cell>
          <cell r="H2646" t="str">
            <v>牛粪堆肥</v>
          </cell>
          <cell r="I2646">
            <v>644</v>
          </cell>
          <cell r="J2646">
            <v>13.14</v>
          </cell>
          <cell r="K2646">
            <v>29.71</v>
          </cell>
          <cell r="L2646" t="str">
            <v>合格</v>
          </cell>
          <cell r="M2646" t="str">
            <v>孙家孟/朱绪涛</v>
          </cell>
          <cell r="N2646" t="str">
            <v>18121102-78</v>
          </cell>
          <cell r="Q2646">
            <v>644</v>
          </cell>
        </row>
        <row r="2647">
          <cell r="E2647" t="str">
            <v>HFMET181206A2784-93-135</v>
          </cell>
          <cell r="F2647" t="str">
            <v>Meta 55，G05</v>
          </cell>
          <cell r="G2647">
            <v>20</v>
          </cell>
          <cell r="H2647" t="str">
            <v>牛粪堆肥</v>
          </cell>
          <cell r="I2647">
            <v>648</v>
          </cell>
          <cell r="J2647">
            <v>13.99</v>
          </cell>
          <cell r="K2647">
            <v>31.61</v>
          </cell>
          <cell r="L2647" t="str">
            <v>合格</v>
          </cell>
          <cell r="M2647" t="str">
            <v>孙家孟/朱绪涛</v>
          </cell>
          <cell r="N2647" t="str">
            <v>18121102-79</v>
          </cell>
          <cell r="Q2647">
            <v>648</v>
          </cell>
        </row>
        <row r="2648">
          <cell r="E2648" t="str">
            <v>HFMET181206A2785-94-135</v>
          </cell>
          <cell r="F2648" t="str">
            <v>Meta 55，G06</v>
          </cell>
          <cell r="G2648">
            <v>20</v>
          </cell>
          <cell r="H2648" t="str">
            <v>牛粪堆肥</v>
          </cell>
          <cell r="I2648">
            <v>654</v>
          </cell>
          <cell r="J2648">
            <v>12.49</v>
          </cell>
          <cell r="K2648">
            <v>28.24</v>
          </cell>
          <cell r="L2648" t="str">
            <v>合格</v>
          </cell>
          <cell r="M2648" t="str">
            <v>孙家孟/朱绪涛</v>
          </cell>
          <cell r="N2648" t="str">
            <v>18121102-80</v>
          </cell>
          <cell r="Q2648">
            <v>654</v>
          </cell>
        </row>
        <row r="2649">
          <cell r="E2649" t="str">
            <v>HFMET181206A2786-87-136</v>
          </cell>
          <cell r="F2649" t="str">
            <v>Meta 55，G07</v>
          </cell>
          <cell r="G2649">
            <v>20</v>
          </cell>
          <cell r="H2649" t="str">
            <v>牛粪堆肥</v>
          </cell>
          <cell r="I2649">
            <v>648</v>
          </cell>
          <cell r="J2649">
            <v>14.82</v>
          </cell>
          <cell r="K2649">
            <v>33.340000000000003</v>
          </cell>
          <cell r="L2649" t="str">
            <v>合格</v>
          </cell>
          <cell r="M2649" t="str">
            <v>孙家孟/朱绪涛</v>
          </cell>
          <cell r="N2649" t="str">
            <v>18121102-81</v>
          </cell>
          <cell r="Q2649">
            <v>648</v>
          </cell>
        </row>
        <row r="2650">
          <cell r="E2650" t="str">
            <v>HFMET181206A2787-88-136</v>
          </cell>
          <cell r="F2650" t="str">
            <v>Meta 55，G08</v>
          </cell>
          <cell r="G2650">
            <v>20</v>
          </cell>
          <cell r="H2650" t="str">
            <v>牛粪堆肥</v>
          </cell>
          <cell r="I2650">
            <v>658</v>
          </cell>
          <cell r="J2650">
            <v>11.7</v>
          </cell>
          <cell r="K2650">
            <v>25.99</v>
          </cell>
          <cell r="L2650" t="str">
            <v>合格</v>
          </cell>
          <cell r="M2650" t="str">
            <v>孙家孟/朱绪涛</v>
          </cell>
          <cell r="N2650" t="str">
            <v>18121102-82</v>
          </cell>
          <cell r="Q2650">
            <v>658</v>
          </cell>
        </row>
        <row r="2651">
          <cell r="E2651" t="str">
            <v>HFMET181206A2788-89-136</v>
          </cell>
          <cell r="F2651" t="str">
            <v>Meta 55，G09</v>
          </cell>
          <cell r="G2651">
            <v>20</v>
          </cell>
          <cell r="H2651" t="str">
            <v>牛粪堆肥</v>
          </cell>
          <cell r="I2651">
            <v>643</v>
          </cell>
          <cell r="J2651">
            <v>15</v>
          </cell>
          <cell r="K2651">
            <v>33.78</v>
          </cell>
          <cell r="L2651" t="str">
            <v>合格</v>
          </cell>
          <cell r="M2651" t="str">
            <v>孙家孟/朱绪涛</v>
          </cell>
          <cell r="N2651" t="str">
            <v>18121102-83</v>
          </cell>
          <cell r="Q2651">
            <v>643</v>
          </cell>
        </row>
        <row r="2652">
          <cell r="E2652" t="str">
            <v>HFMET181206A2789-90-136</v>
          </cell>
          <cell r="F2652" t="str">
            <v>Meta 55，G10</v>
          </cell>
          <cell r="G2652">
            <v>20</v>
          </cell>
          <cell r="H2652" t="str">
            <v>牛粪堆肥</v>
          </cell>
          <cell r="I2652">
            <v>650</v>
          </cell>
          <cell r="J2652">
            <v>11.58</v>
          </cell>
          <cell r="K2652">
            <v>26</v>
          </cell>
          <cell r="L2652" t="str">
            <v>合格</v>
          </cell>
          <cell r="M2652" t="str">
            <v>孙家孟/朱绪涛</v>
          </cell>
          <cell r="N2652" t="str">
            <v>18121102-84</v>
          </cell>
          <cell r="Q2652">
            <v>650</v>
          </cell>
        </row>
        <row r="2653">
          <cell r="E2653" t="str">
            <v>HFMET181206A2790-91-136</v>
          </cell>
          <cell r="F2653" t="str">
            <v>Meta 55，G11</v>
          </cell>
          <cell r="G2653">
            <v>20</v>
          </cell>
          <cell r="H2653" t="str">
            <v>牛粪堆肥</v>
          </cell>
          <cell r="I2653">
            <v>644</v>
          </cell>
          <cell r="J2653">
            <v>13.22</v>
          </cell>
          <cell r="K2653">
            <v>29.8</v>
          </cell>
          <cell r="L2653" t="str">
            <v>合格</v>
          </cell>
          <cell r="M2653" t="str">
            <v>孙家孟/朱绪涛</v>
          </cell>
          <cell r="N2653" t="str">
            <v>18121102-85</v>
          </cell>
          <cell r="Q2653">
            <v>644</v>
          </cell>
        </row>
        <row r="2654">
          <cell r="E2654" t="str">
            <v>HFMET181206A2791-92-136</v>
          </cell>
          <cell r="F2654" t="str">
            <v>Meta 55，G12</v>
          </cell>
          <cell r="G2654">
            <v>20</v>
          </cell>
          <cell r="H2654" t="str">
            <v>牛粪堆肥</v>
          </cell>
          <cell r="I2654">
            <v>649</v>
          </cell>
          <cell r="J2654">
            <v>13.93</v>
          </cell>
          <cell r="K2654">
            <v>31.24</v>
          </cell>
          <cell r="L2654" t="str">
            <v>合格</v>
          </cell>
          <cell r="M2654" t="str">
            <v>孙家孟/朱绪涛</v>
          </cell>
          <cell r="N2654" t="str">
            <v>18121102-86</v>
          </cell>
          <cell r="Q2654">
            <v>649</v>
          </cell>
        </row>
        <row r="2655">
          <cell r="E2655" t="str">
            <v>HFMET181206A2792-93-136</v>
          </cell>
          <cell r="F2655" t="str">
            <v>Meta 55，H01</v>
          </cell>
          <cell r="G2655">
            <v>20</v>
          </cell>
          <cell r="H2655" t="str">
            <v>牛粪堆肥</v>
          </cell>
          <cell r="I2655">
            <v>632</v>
          </cell>
          <cell r="J2655">
            <v>28.47</v>
          </cell>
          <cell r="K2655">
            <v>65.22</v>
          </cell>
          <cell r="L2655" t="str">
            <v>合格</v>
          </cell>
          <cell r="M2655" t="str">
            <v>孙家孟/朱绪涛</v>
          </cell>
          <cell r="N2655" t="str">
            <v>18121102-87</v>
          </cell>
          <cell r="Q2655">
            <v>632</v>
          </cell>
        </row>
        <row r="2656">
          <cell r="E2656" t="str">
            <v>HFMET181206A2793-94-136</v>
          </cell>
          <cell r="F2656" t="str">
            <v>Meta 55，H02</v>
          </cell>
          <cell r="G2656">
            <v>20</v>
          </cell>
          <cell r="H2656" t="str">
            <v>牛粪堆肥</v>
          </cell>
          <cell r="I2656">
            <v>643</v>
          </cell>
          <cell r="J2656">
            <v>24.63</v>
          </cell>
          <cell r="K2656">
            <v>55.93</v>
          </cell>
          <cell r="L2656" t="str">
            <v>合格</v>
          </cell>
          <cell r="M2656" t="str">
            <v>孙家孟/朱绪涛</v>
          </cell>
          <cell r="N2656" t="str">
            <v>18121102-88</v>
          </cell>
          <cell r="Q2656">
            <v>643</v>
          </cell>
        </row>
        <row r="2657">
          <cell r="E2657" t="str">
            <v>HFMET181206A2794-87-137</v>
          </cell>
          <cell r="F2657" t="str">
            <v>Meta 55，H03</v>
          </cell>
          <cell r="G2657">
            <v>20</v>
          </cell>
          <cell r="H2657" t="str">
            <v>牛粪堆肥</v>
          </cell>
          <cell r="I2657">
            <v>635</v>
          </cell>
          <cell r="J2657">
            <v>17.41</v>
          </cell>
          <cell r="K2657">
            <v>39.700000000000003</v>
          </cell>
          <cell r="L2657" t="str">
            <v>合格</v>
          </cell>
          <cell r="M2657" t="str">
            <v>孙家孟/朱绪涛</v>
          </cell>
          <cell r="N2657" t="str">
            <v>18121102-89</v>
          </cell>
          <cell r="Q2657">
            <v>635</v>
          </cell>
        </row>
        <row r="2658">
          <cell r="E2658" t="str">
            <v>HFMET181206A2795-88-137</v>
          </cell>
          <cell r="F2658" t="str">
            <v>Meta 55，H04</v>
          </cell>
          <cell r="G2658">
            <v>20</v>
          </cell>
          <cell r="H2658" t="str">
            <v>牛粪堆肥</v>
          </cell>
          <cell r="I2658">
            <v>657</v>
          </cell>
          <cell r="J2658">
            <v>11</v>
          </cell>
          <cell r="K2658">
            <v>24.58</v>
          </cell>
          <cell r="L2658" t="str">
            <v>合格</v>
          </cell>
          <cell r="M2658" t="str">
            <v>孙家孟/朱绪涛</v>
          </cell>
          <cell r="N2658" t="str">
            <v>18121102-90</v>
          </cell>
          <cell r="Q2658">
            <v>657</v>
          </cell>
        </row>
        <row r="2659">
          <cell r="E2659" t="str">
            <v>HFMET181206A2796-89-137</v>
          </cell>
          <cell r="F2659" t="str">
            <v>Meta 55，H05</v>
          </cell>
          <cell r="G2659">
            <v>20</v>
          </cell>
          <cell r="H2659" t="str">
            <v>牛粪堆肥</v>
          </cell>
          <cell r="I2659">
            <v>645</v>
          </cell>
          <cell r="J2659">
            <v>13.11</v>
          </cell>
          <cell r="K2659">
            <v>29.55</v>
          </cell>
          <cell r="L2659" t="str">
            <v>合格</v>
          </cell>
          <cell r="M2659" t="str">
            <v>孙家孟/朱绪涛</v>
          </cell>
          <cell r="N2659" t="str">
            <v>18121102-91</v>
          </cell>
          <cell r="Q2659">
            <v>645</v>
          </cell>
        </row>
        <row r="2660">
          <cell r="E2660" t="str">
            <v>HFMET181206A2797-90-137</v>
          </cell>
          <cell r="F2660" t="str">
            <v>Meta 55，H06</v>
          </cell>
          <cell r="G2660">
            <v>20</v>
          </cell>
          <cell r="H2660" t="str">
            <v>牛粪堆肥</v>
          </cell>
          <cell r="I2660">
            <v>650</v>
          </cell>
          <cell r="J2660">
            <v>14.77</v>
          </cell>
          <cell r="K2660">
            <v>33.5</v>
          </cell>
          <cell r="L2660" t="str">
            <v>合格</v>
          </cell>
          <cell r="M2660" t="str">
            <v>孙家孟/朱绪涛</v>
          </cell>
          <cell r="N2660" t="str">
            <v>18121102-92</v>
          </cell>
          <cell r="Q2660">
            <v>650</v>
          </cell>
        </row>
        <row r="2661">
          <cell r="E2661" t="str">
            <v>HFMET181206A2798-91-137</v>
          </cell>
          <cell r="F2661" t="str">
            <v>Meta 55，H07</v>
          </cell>
          <cell r="G2661">
            <v>20</v>
          </cell>
          <cell r="H2661" t="str">
            <v>牛粪堆肥</v>
          </cell>
          <cell r="I2661">
            <v>654</v>
          </cell>
          <cell r="J2661">
            <v>12.35</v>
          </cell>
          <cell r="K2661">
            <v>27.58</v>
          </cell>
          <cell r="L2661" t="str">
            <v>合格</v>
          </cell>
          <cell r="M2661" t="str">
            <v>孙家孟/朱绪涛</v>
          </cell>
          <cell r="N2661" t="str">
            <v>18121102-93</v>
          </cell>
          <cell r="Q2661">
            <v>654</v>
          </cell>
        </row>
        <row r="2662">
          <cell r="E2662" t="str">
            <v>HFMET181206A2799-92-137</v>
          </cell>
          <cell r="F2662" t="str">
            <v>Meta 55，H08</v>
          </cell>
          <cell r="G2662">
            <v>20</v>
          </cell>
          <cell r="H2662" t="str">
            <v>牛粪堆肥</v>
          </cell>
          <cell r="I2662">
            <v>656</v>
          </cell>
          <cell r="J2662">
            <v>13.01</v>
          </cell>
          <cell r="K2662">
            <v>29.17</v>
          </cell>
          <cell r="L2662" t="str">
            <v>合格</v>
          </cell>
          <cell r="M2662" t="str">
            <v>孙家孟/朱绪涛</v>
          </cell>
          <cell r="N2662" t="str">
            <v>18121102-94</v>
          </cell>
          <cell r="Q2662">
            <v>656</v>
          </cell>
        </row>
        <row r="2663">
          <cell r="E2663" t="str">
            <v>HFMET181206A2800-93-137</v>
          </cell>
          <cell r="F2663" t="str">
            <v>Meta 55，H09</v>
          </cell>
          <cell r="G2663">
            <v>20</v>
          </cell>
          <cell r="H2663" t="str">
            <v>牛粪堆肥</v>
          </cell>
          <cell r="I2663">
            <v>633</v>
          </cell>
          <cell r="J2663">
            <v>32.200000000000003</v>
          </cell>
          <cell r="K2663">
            <v>73.73</v>
          </cell>
          <cell r="L2663" t="str">
            <v>合格</v>
          </cell>
          <cell r="M2663" t="str">
            <v>孙家孟/朱绪涛</v>
          </cell>
          <cell r="N2663" t="str">
            <v>18121102-95</v>
          </cell>
          <cell r="Q2663">
            <v>633</v>
          </cell>
        </row>
        <row r="2664">
          <cell r="E2664" t="str">
            <v>HFMET181206A2801-94-137</v>
          </cell>
          <cell r="F2664" t="str">
            <v>Meta 55，H10</v>
          </cell>
          <cell r="G2664">
            <v>20</v>
          </cell>
          <cell r="H2664" t="str">
            <v>牛粪堆肥</v>
          </cell>
          <cell r="I2664">
            <v>642</v>
          </cell>
          <cell r="J2664">
            <v>26.69</v>
          </cell>
          <cell r="K2664">
            <v>61.11</v>
          </cell>
          <cell r="L2664" t="str">
            <v>合格</v>
          </cell>
          <cell r="M2664" t="str">
            <v>孙家孟/朱绪涛</v>
          </cell>
          <cell r="N2664" t="str">
            <v>18121102-96</v>
          </cell>
          <cell r="Q2664">
            <v>642</v>
          </cell>
        </row>
        <row r="2665">
          <cell r="E2665" t="str">
            <v>HFMET181206B2802-95-123</v>
          </cell>
          <cell r="F2665" t="str">
            <v>Meta 55，H11</v>
          </cell>
          <cell r="G2665">
            <v>20</v>
          </cell>
          <cell r="H2665" t="str">
            <v>土壤微生物</v>
          </cell>
          <cell r="I2665" t="str">
            <v>无目的峰</v>
          </cell>
          <cell r="J2665" t="str">
            <v>0.02</v>
          </cell>
          <cell r="K2665" t="str">
            <v>0.05</v>
          </cell>
          <cell r="L2665" t="str">
            <v>不合格</v>
          </cell>
          <cell r="M2665" t="str">
            <v>孙家孟/朱绪涛</v>
          </cell>
          <cell r="N2665" t="str">
            <v>20181207-1</v>
          </cell>
          <cell r="Q2665" t="str">
            <v>无目的峰</v>
          </cell>
        </row>
        <row r="2666">
          <cell r="E2666" t="str">
            <v>HFMET181206A2803-94-137</v>
          </cell>
          <cell r="F2666" t="str">
            <v>Meta 55，H12</v>
          </cell>
          <cell r="G2666">
            <v>20</v>
          </cell>
          <cell r="I2666" t="str">
            <v>无目的峰</v>
          </cell>
          <cell r="J2666">
            <v>6.3799999999999996E-2</v>
          </cell>
          <cell r="K2666">
            <v>0.18055399999999999</v>
          </cell>
          <cell r="L2666" t="str">
            <v>合格</v>
          </cell>
          <cell r="M2666" t="str">
            <v>孙家孟/朱绪涛</v>
          </cell>
          <cell r="N2666" t="str">
            <v>20181207-2</v>
          </cell>
          <cell r="Q2666" t="str">
            <v>无目的峰</v>
          </cell>
        </row>
        <row r="2667">
          <cell r="E2667" t="str">
            <v>HFMET181206A2804-56-74</v>
          </cell>
          <cell r="F2667" t="str">
            <v>Meta 56，A01</v>
          </cell>
          <cell r="G2667">
            <v>20</v>
          </cell>
          <cell r="H2667" t="str">
            <v>土壤</v>
          </cell>
          <cell r="I2667">
            <v>587</v>
          </cell>
          <cell r="J2667" t="str">
            <v>6.06</v>
          </cell>
          <cell r="K2667" t="str">
            <v>15.00</v>
          </cell>
          <cell r="L2667" t="str">
            <v>合格</v>
          </cell>
          <cell r="M2667" t="str">
            <v>孙家孟/朱绪涛</v>
          </cell>
          <cell r="N2667" t="str">
            <v>20181207-3</v>
          </cell>
          <cell r="Q2667">
            <v>587</v>
          </cell>
        </row>
        <row r="2668">
          <cell r="E2668" t="str">
            <v>HFMET181206A2805-57-74</v>
          </cell>
          <cell r="F2668" t="str">
            <v>Meta 56，A02</v>
          </cell>
          <cell r="G2668">
            <v>20</v>
          </cell>
          <cell r="H2668" t="str">
            <v>土壤</v>
          </cell>
          <cell r="I2668" t="str">
            <v>无目的峰</v>
          </cell>
          <cell r="J2668" t="str">
            <v>0.07</v>
          </cell>
          <cell r="K2668" t="str">
            <v>0.15</v>
          </cell>
          <cell r="L2668" t="str">
            <v>不合格</v>
          </cell>
          <cell r="M2668" t="str">
            <v>孙家孟/朱绪涛</v>
          </cell>
          <cell r="N2668" t="str">
            <v>20181207-4</v>
          </cell>
          <cell r="Q2668" t="str">
            <v>无目的峰</v>
          </cell>
        </row>
        <row r="2669">
          <cell r="E2669" t="str">
            <v>HFMET181206A2806-58-74</v>
          </cell>
          <cell r="F2669" t="str">
            <v>Meta 56，A03</v>
          </cell>
          <cell r="G2669">
            <v>20</v>
          </cell>
          <cell r="H2669" t="str">
            <v>土壤</v>
          </cell>
          <cell r="I2669">
            <v>653</v>
          </cell>
          <cell r="J2669" t="str">
            <v>7.36</v>
          </cell>
          <cell r="K2669" t="str">
            <v>17.08</v>
          </cell>
          <cell r="L2669" t="str">
            <v>合格</v>
          </cell>
          <cell r="M2669" t="str">
            <v>孙家孟/朱绪涛</v>
          </cell>
          <cell r="N2669" t="str">
            <v>20181207-5</v>
          </cell>
          <cell r="Q2669">
            <v>653</v>
          </cell>
        </row>
        <row r="2670">
          <cell r="E2670" t="str">
            <v>HFMET181206A2807-58-74</v>
          </cell>
          <cell r="F2670" t="str">
            <v>Meta 56，A04</v>
          </cell>
          <cell r="G2670">
            <v>20</v>
          </cell>
          <cell r="I2670" t="str">
            <v>无目的峰</v>
          </cell>
          <cell r="J2670">
            <v>0.05</v>
          </cell>
          <cell r="K2670">
            <v>0.14149999999999999</v>
          </cell>
          <cell r="L2670" t="str">
            <v>合格</v>
          </cell>
          <cell r="M2670" t="str">
            <v>孙家孟/朱绪涛</v>
          </cell>
          <cell r="N2670" t="str">
            <v>20181207-6</v>
          </cell>
          <cell r="Q2670" t="str">
            <v>无目的峰</v>
          </cell>
        </row>
        <row r="2671">
          <cell r="E2671" t="str">
            <v>HFMET181206A2808-51-77</v>
          </cell>
          <cell r="F2671" t="str">
            <v>Meta 56，A05</v>
          </cell>
          <cell r="G2671">
            <v>20</v>
          </cell>
          <cell r="H2671" t="str">
            <v>土壤</v>
          </cell>
          <cell r="I2671" t="str">
            <v>442/380</v>
          </cell>
          <cell r="J2671" t="str">
            <v>12.05</v>
          </cell>
          <cell r="K2671" t="str">
            <v>44.38</v>
          </cell>
          <cell r="L2671" t="str">
            <v>合格</v>
          </cell>
          <cell r="M2671" t="str">
            <v>孙家孟/朱绪涛</v>
          </cell>
          <cell r="N2671" t="str">
            <v>20181207-7</v>
          </cell>
          <cell r="Q2671" t="str">
            <v>442/380</v>
          </cell>
        </row>
        <row r="2672">
          <cell r="E2672" t="str">
            <v>HFMET181206A2809-52-77</v>
          </cell>
          <cell r="F2672" t="str">
            <v>Meta 56，A06</v>
          </cell>
          <cell r="G2672">
            <v>20</v>
          </cell>
          <cell r="H2672" t="str">
            <v>土壤</v>
          </cell>
          <cell r="I2672" t="str">
            <v>峰形异常</v>
          </cell>
          <cell r="J2672" t="str">
            <v>0.83</v>
          </cell>
          <cell r="K2672" t="str">
            <v>3.58</v>
          </cell>
          <cell r="L2672" t="str">
            <v>不合格</v>
          </cell>
          <cell r="M2672" t="str">
            <v>孙家孟/朱绪涛</v>
          </cell>
          <cell r="N2672" t="str">
            <v>20181207-8</v>
          </cell>
          <cell r="Q2672" t="str">
            <v>峰形异常</v>
          </cell>
        </row>
        <row r="2673">
          <cell r="E2673" t="str">
            <v>HFMET181206A2810-53-77</v>
          </cell>
          <cell r="F2673" t="str">
            <v>Meta 56，A07</v>
          </cell>
          <cell r="G2673">
            <v>20</v>
          </cell>
          <cell r="H2673" t="str">
            <v>土壤</v>
          </cell>
          <cell r="I2673" t="str">
            <v>437/409</v>
          </cell>
          <cell r="J2673" t="str">
            <v>9.33</v>
          </cell>
          <cell r="K2673" t="str">
            <v>33.35</v>
          </cell>
          <cell r="L2673" t="str">
            <v>合格</v>
          </cell>
          <cell r="M2673" t="str">
            <v>孙家孟/朱绪涛</v>
          </cell>
          <cell r="N2673" t="str">
            <v>20181207-9</v>
          </cell>
          <cell r="Q2673" t="str">
            <v>437/409</v>
          </cell>
        </row>
        <row r="2674">
          <cell r="E2674" t="str">
            <v>HFMET181206A2811-54-77</v>
          </cell>
          <cell r="F2674" t="str">
            <v>Meta 56，A08</v>
          </cell>
          <cell r="G2674">
            <v>20</v>
          </cell>
          <cell r="H2674" t="str">
            <v>土壤</v>
          </cell>
          <cell r="I2674" t="str">
            <v>499/440</v>
          </cell>
          <cell r="J2674" t="str">
            <v>13.81</v>
          </cell>
          <cell r="K2674" t="str">
            <v>47.24</v>
          </cell>
          <cell r="L2674" t="str">
            <v>合格</v>
          </cell>
          <cell r="M2674" t="str">
            <v>孙家孟/朱绪涛</v>
          </cell>
          <cell r="N2674" t="str">
            <v>20181207-10</v>
          </cell>
          <cell r="Q2674" t="str">
            <v>499/440</v>
          </cell>
        </row>
        <row r="2675">
          <cell r="E2675" t="str">
            <v>HFMET181206A2812-55-77</v>
          </cell>
          <cell r="F2675" t="str">
            <v>Meta 56，A09</v>
          </cell>
          <cell r="G2675">
            <v>20</v>
          </cell>
          <cell r="H2675" t="str">
            <v>土壤</v>
          </cell>
          <cell r="I2675">
            <v>441</v>
          </cell>
          <cell r="J2675" t="str">
            <v>10.88</v>
          </cell>
          <cell r="K2675" t="str">
            <v>37.80</v>
          </cell>
          <cell r="L2675" t="str">
            <v>合格</v>
          </cell>
          <cell r="M2675" t="str">
            <v>孙家孟/朱绪涛</v>
          </cell>
          <cell r="N2675" t="str">
            <v>20181207-11</v>
          </cell>
          <cell r="Q2675">
            <v>441</v>
          </cell>
        </row>
        <row r="2676">
          <cell r="E2676" t="str">
            <v>HFMET181206A2813-55-77</v>
          </cell>
          <cell r="F2676" t="str">
            <v>Meta 56，A10</v>
          </cell>
          <cell r="G2676">
            <v>20</v>
          </cell>
          <cell r="I2676" t="str">
            <v>无目的峰</v>
          </cell>
          <cell r="J2676" t="str">
            <v>0.04</v>
          </cell>
          <cell r="K2676">
            <v>0.1132</v>
          </cell>
          <cell r="L2676" t="str">
            <v>合格</v>
          </cell>
          <cell r="M2676" t="str">
            <v>孙家孟/朱绪涛</v>
          </cell>
          <cell r="N2676" t="str">
            <v>20181207-12</v>
          </cell>
          <cell r="Q2676" t="str">
            <v>无目的峰</v>
          </cell>
        </row>
        <row r="2677">
          <cell r="E2677" t="str">
            <v>HFMET181211A2814-95-121</v>
          </cell>
          <cell r="F2677" t="str">
            <v>Meta 56，A11</v>
          </cell>
          <cell r="G2677">
            <v>20</v>
          </cell>
          <cell r="H2677" t="str">
            <v>醋</v>
          </cell>
          <cell r="I2677">
            <v>595</v>
          </cell>
          <cell r="J2677" t="str">
            <v>6.51</v>
          </cell>
          <cell r="K2677" t="str">
            <v>15.97</v>
          </cell>
          <cell r="L2677" t="str">
            <v>合格</v>
          </cell>
          <cell r="M2677" t="str">
            <v>朱绪涛</v>
          </cell>
          <cell r="N2677" t="str">
            <v>20181212-1</v>
          </cell>
          <cell r="Q2677">
            <v>595</v>
          </cell>
        </row>
        <row r="2678">
          <cell r="E2678" t="str">
            <v>HFMET181211A2815-96-121</v>
          </cell>
          <cell r="F2678" t="str">
            <v>Meta 56，A12</v>
          </cell>
          <cell r="G2678">
            <v>20</v>
          </cell>
          <cell r="H2678" t="str">
            <v>醋</v>
          </cell>
          <cell r="I2678">
            <v>602</v>
          </cell>
          <cell r="J2678" t="str">
            <v>5.27</v>
          </cell>
          <cell r="K2678" t="str">
            <v>12.93</v>
          </cell>
          <cell r="L2678" t="str">
            <v>合格</v>
          </cell>
          <cell r="M2678" t="str">
            <v>朱绪涛</v>
          </cell>
          <cell r="N2678" t="str">
            <v>20181212-2</v>
          </cell>
          <cell r="Q2678">
            <v>602</v>
          </cell>
        </row>
        <row r="2679">
          <cell r="E2679" t="str">
            <v>HFMET181211A2816-97-121</v>
          </cell>
          <cell r="F2679" t="str">
            <v>Meta 56，B01</v>
          </cell>
          <cell r="G2679">
            <v>20</v>
          </cell>
          <cell r="H2679" t="str">
            <v>醋</v>
          </cell>
          <cell r="I2679">
            <v>580</v>
          </cell>
          <cell r="J2679" t="str">
            <v>11.10</v>
          </cell>
          <cell r="K2679" t="str">
            <v>27.39</v>
          </cell>
          <cell r="L2679" t="str">
            <v>合格</v>
          </cell>
          <cell r="M2679" t="str">
            <v>朱绪涛</v>
          </cell>
          <cell r="N2679" t="str">
            <v>20181212-3</v>
          </cell>
          <cell r="Q2679">
            <v>580</v>
          </cell>
        </row>
        <row r="2680">
          <cell r="E2680" t="str">
            <v>HFMET181211A2817-98-121</v>
          </cell>
          <cell r="F2680" t="str">
            <v>Meta 56，B02</v>
          </cell>
          <cell r="G2680">
            <v>20</v>
          </cell>
          <cell r="H2680" t="str">
            <v xml:space="preserve">小菜蛾 </v>
          </cell>
          <cell r="I2680">
            <v>614</v>
          </cell>
          <cell r="J2680" t="str">
            <v>4.75</v>
          </cell>
          <cell r="K2680" t="str">
            <v>11.45</v>
          </cell>
          <cell r="L2680" t="str">
            <v>合格</v>
          </cell>
          <cell r="M2680" t="str">
            <v>朱绪涛</v>
          </cell>
          <cell r="N2680" t="str">
            <v>20181212-4</v>
          </cell>
          <cell r="Q2680">
            <v>614</v>
          </cell>
        </row>
        <row r="2681">
          <cell r="E2681" t="str">
            <v>HFMET181211A2818-99-121</v>
          </cell>
          <cell r="F2681" t="str">
            <v>Meta 56，B03</v>
          </cell>
          <cell r="G2681">
            <v>20</v>
          </cell>
          <cell r="H2681" t="str">
            <v xml:space="preserve">小菜蛾 </v>
          </cell>
          <cell r="I2681">
            <v>633</v>
          </cell>
          <cell r="J2681" t="str">
            <v>2.56</v>
          </cell>
          <cell r="K2681" t="str">
            <v>6.18</v>
          </cell>
          <cell r="L2681" t="str">
            <v>合格</v>
          </cell>
          <cell r="M2681" t="str">
            <v>朱绪涛</v>
          </cell>
          <cell r="N2681" t="str">
            <v>20181212-5</v>
          </cell>
          <cell r="Q2681">
            <v>633</v>
          </cell>
        </row>
        <row r="2682">
          <cell r="E2682" t="str">
            <v>HFMET181211A2819-100-121</v>
          </cell>
          <cell r="F2682" t="str">
            <v>Meta 56，B04</v>
          </cell>
          <cell r="G2682">
            <v>20</v>
          </cell>
          <cell r="H2682" t="str">
            <v>盲蝽</v>
          </cell>
          <cell r="I2682">
            <v>632</v>
          </cell>
          <cell r="J2682" t="str">
            <v>2.53</v>
          </cell>
          <cell r="K2682" t="str">
            <v>6.10</v>
          </cell>
          <cell r="L2682" t="str">
            <v>合格</v>
          </cell>
          <cell r="M2682" t="str">
            <v>朱绪涛</v>
          </cell>
          <cell r="N2682" t="str">
            <v>20181212-6</v>
          </cell>
          <cell r="Q2682">
            <v>632</v>
          </cell>
        </row>
        <row r="2683">
          <cell r="E2683" t="str">
            <v>HFMET181211A2820-95-122</v>
          </cell>
          <cell r="F2683" t="str">
            <v>Meta 56，B05</v>
          </cell>
          <cell r="G2683">
            <v>20</v>
          </cell>
          <cell r="H2683" t="str">
            <v>盲蝽</v>
          </cell>
          <cell r="I2683">
            <v>621</v>
          </cell>
          <cell r="J2683" t="str">
            <v>3.91</v>
          </cell>
          <cell r="K2683" t="str">
            <v>9.41</v>
          </cell>
          <cell r="L2683" t="str">
            <v>合格</v>
          </cell>
          <cell r="M2683" t="str">
            <v>朱绪涛</v>
          </cell>
          <cell r="N2683" t="str">
            <v>20181212-7</v>
          </cell>
          <cell r="Q2683">
            <v>621</v>
          </cell>
        </row>
        <row r="2684">
          <cell r="E2684" t="str">
            <v>HFMET181211A2821-96-122</v>
          </cell>
          <cell r="F2684" t="str">
            <v>Meta 56，B06</v>
          </cell>
          <cell r="G2684">
            <v>20</v>
          </cell>
          <cell r="H2684" t="str">
            <v>盲蝽</v>
          </cell>
          <cell r="I2684">
            <v>626</v>
          </cell>
          <cell r="J2684" t="str">
            <v>3.24</v>
          </cell>
          <cell r="K2684" t="str">
            <v>7.75</v>
          </cell>
          <cell r="L2684" t="str">
            <v>合格</v>
          </cell>
          <cell r="M2684" t="str">
            <v>朱绪涛</v>
          </cell>
          <cell r="N2684" t="str">
            <v>20181212-8</v>
          </cell>
          <cell r="Q2684">
            <v>626</v>
          </cell>
        </row>
        <row r="2685">
          <cell r="E2685" t="str">
            <v>HFMET181211A2822-97-122</v>
          </cell>
          <cell r="F2685" t="str">
            <v>Meta 56，B07</v>
          </cell>
          <cell r="G2685">
            <v>20</v>
          </cell>
          <cell r="H2685" t="str">
            <v>盲蝽</v>
          </cell>
          <cell r="I2685">
            <v>639</v>
          </cell>
          <cell r="J2685" t="str">
            <v>2.08</v>
          </cell>
          <cell r="K2685" t="str">
            <v>4.91</v>
          </cell>
          <cell r="L2685" t="str">
            <v>合格</v>
          </cell>
          <cell r="M2685" t="str">
            <v>朱绪涛</v>
          </cell>
          <cell r="N2685" t="str">
            <v>20181212-9</v>
          </cell>
          <cell r="Q2685">
            <v>639</v>
          </cell>
        </row>
        <row r="2686">
          <cell r="E2686" t="str">
            <v>HFMET181211A2823-98-122</v>
          </cell>
          <cell r="F2686" t="str">
            <v>Meta 56，B08</v>
          </cell>
          <cell r="G2686">
            <v>20</v>
          </cell>
          <cell r="H2686" t="str">
            <v>茧蜂</v>
          </cell>
          <cell r="I2686">
            <v>625</v>
          </cell>
          <cell r="J2686" t="str">
            <v>3.50</v>
          </cell>
          <cell r="K2686" t="str">
            <v>8.36</v>
          </cell>
          <cell r="L2686" t="str">
            <v>合格</v>
          </cell>
          <cell r="M2686" t="str">
            <v>朱绪涛</v>
          </cell>
          <cell r="N2686" t="str">
            <v>20181212-10</v>
          </cell>
          <cell r="Q2686">
            <v>625</v>
          </cell>
        </row>
        <row r="2687">
          <cell r="E2687" t="str">
            <v>HFMET181211A2824-99-122</v>
          </cell>
          <cell r="F2687" t="str">
            <v>Meta 56，B09</v>
          </cell>
          <cell r="G2687">
            <v>20</v>
          </cell>
          <cell r="H2687" t="str">
            <v>茧蜂</v>
          </cell>
          <cell r="I2687">
            <v>638</v>
          </cell>
          <cell r="J2687" t="str">
            <v>2.14</v>
          </cell>
          <cell r="K2687" t="str">
            <v>5.16</v>
          </cell>
          <cell r="L2687" t="str">
            <v>合格</v>
          </cell>
          <cell r="M2687" t="str">
            <v>朱绪涛</v>
          </cell>
          <cell r="N2687" t="str">
            <v>20181212-11</v>
          </cell>
          <cell r="Q2687">
            <v>638</v>
          </cell>
        </row>
        <row r="2688">
          <cell r="E2688" t="str">
            <v>HFMET181211A2825-100-122</v>
          </cell>
          <cell r="F2688" t="str">
            <v>Meta 56，B10</v>
          </cell>
          <cell r="G2688">
            <v>20</v>
          </cell>
          <cell r="H2688" t="str">
            <v>茧蜂</v>
          </cell>
          <cell r="I2688">
            <v>647</v>
          </cell>
          <cell r="J2688" t="str">
            <v>1.14</v>
          </cell>
          <cell r="K2688" t="str">
            <v>2.72</v>
          </cell>
          <cell r="L2688" t="str">
            <v>合格</v>
          </cell>
          <cell r="M2688" t="str">
            <v>朱绪涛</v>
          </cell>
          <cell r="N2688" t="str">
            <v>20181212-12</v>
          </cell>
          <cell r="Q2688">
            <v>647</v>
          </cell>
        </row>
        <row r="2689">
          <cell r="E2689" t="str">
            <v>HFMET181211A2826-95-123</v>
          </cell>
          <cell r="F2689" t="str">
            <v>Meta 56，B11</v>
          </cell>
          <cell r="G2689">
            <v>20</v>
          </cell>
          <cell r="H2689" t="str">
            <v>茧蜂</v>
          </cell>
          <cell r="I2689">
            <v>628</v>
          </cell>
          <cell r="J2689" t="str">
            <v>3.57</v>
          </cell>
          <cell r="K2689" t="str">
            <v>8.50</v>
          </cell>
          <cell r="L2689" t="str">
            <v>合格</v>
          </cell>
          <cell r="M2689" t="str">
            <v>朱绪涛</v>
          </cell>
          <cell r="N2689" t="str">
            <v>20181212-13</v>
          </cell>
          <cell r="Q2689">
            <v>628</v>
          </cell>
        </row>
        <row r="2690">
          <cell r="E2690" t="str">
            <v>HFMET181211A2827-96-123</v>
          </cell>
          <cell r="F2690" t="str">
            <v>Meta 56，B12</v>
          </cell>
          <cell r="G2690">
            <v>20</v>
          </cell>
          <cell r="I2690" t="str">
            <v>无目的峰</v>
          </cell>
          <cell r="J2690">
            <v>3.9199999999999999E-2</v>
          </cell>
          <cell r="K2690">
            <v>0.11093600000000001</v>
          </cell>
          <cell r="L2690" t="str">
            <v>合格</v>
          </cell>
          <cell r="M2690" t="str">
            <v>朱绪涛</v>
          </cell>
          <cell r="N2690" t="str">
            <v>20181212-14</v>
          </cell>
          <cell r="Q2690" t="str">
            <v>无目的峰</v>
          </cell>
        </row>
        <row r="2691">
          <cell r="E2691" t="str">
            <v>HFMET181211A2828-97-123</v>
          </cell>
          <cell r="F2691" t="str">
            <v>Meta 56，C01</v>
          </cell>
          <cell r="G2691">
            <v>20</v>
          </cell>
          <cell r="I2691" t="str">
            <v>无目的峰</v>
          </cell>
          <cell r="J2691">
            <v>6.8599999999999994E-2</v>
          </cell>
          <cell r="K2691">
            <v>0.19413800000000001</v>
          </cell>
          <cell r="L2691" t="str">
            <v>合格</v>
          </cell>
          <cell r="M2691" t="str">
            <v>朱绪涛</v>
          </cell>
          <cell r="N2691" t="str">
            <v>20181212-15</v>
          </cell>
          <cell r="Q2691" t="str">
            <v>无目的峰</v>
          </cell>
        </row>
        <row r="2692">
          <cell r="E2692" t="str">
            <v>HFMET181211A2829-98-123</v>
          </cell>
          <cell r="F2692" t="str">
            <v>Meta 56，C02</v>
          </cell>
          <cell r="G2692">
            <v>20</v>
          </cell>
          <cell r="I2692">
            <v>627</v>
          </cell>
          <cell r="J2692" t="str">
            <v>3.70</v>
          </cell>
          <cell r="K2692" t="str">
            <v>8.83</v>
          </cell>
          <cell r="L2692" t="str">
            <v>合格</v>
          </cell>
          <cell r="M2692" t="str">
            <v>朱绪涛</v>
          </cell>
          <cell r="N2692" t="str">
            <v>20181212-16</v>
          </cell>
          <cell r="Q2692">
            <v>627</v>
          </cell>
        </row>
        <row r="2693">
          <cell r="E2693" t="str">
            <v>HFMET181211A2830-99-123</v>
          </cell>
          <cell r="F2693" t="str">
            <v>Meta 56，C03</v>
          </cell>
          <cell r="G2693">
            <v>20</v>
          </cell>
          <cell r="H2693" t="str">
            <v>DNA基因组</v>
          </cell>
          <cell r="I2693">
            <v>572</v>
          </cell>
          <cell r="J2693" t="str">
            <v>16.61</v>
          </cell>
          <cell r="K2693" t="str">
            <v>41.94</v>
          </cell>
          <cell r="L2693" t="str">
            <v>合格</v>
          </cell>
          <cell r="M2693" t="str">
            <v>朱绪涛</v>
          </cell>
          <cell r="N2693" t="str">
            <v>20181212-17</v>
          </cell>
          <cell r="Q2693">
            <v>572</v>
          </cell>
        </row>
        <row r="2694">
          <cell r="E2694" t="str">
            <v>HFMET181211A2831-100-123</v>
          </cell>
          <cell r="F2694" t="str">
            <v>Meta 56，C04</v>
          </cell>
          <cell r="G2694">
            <v>20</v>
          </cell>
          <cell r="H2694" t="str">
            <v>DNA基因组</v>
          </cell>
          <cell r="I2694">
            <v>565</v>
          </cell>
          <cell r="J2694" t="str">
            <v>16.36</v>
          </cell>
          <cell r="K2694" t="str">
            <v>41.61</v>
          </cell>
          <cell r="L2694" t="str">
            <v>合格</v>
          </cell>
          <cell r="M2694" t="str">
            <v>朱绪涛</v>
          </cell>
          <cell r="N2694" t="str">
            <v>20181212-18</v>
          </cell>
          <cell r="Q2694">
            <v>565</v>
          </cell>
        </row>
        <row r="2695">
          <cell r="E2695" t="str">
            <v>HFMET181211A2832-95-124</v>
          </cell>
          <cell r="F2695" t="str">
            <v>Meta 56，C05</v>
          </cell>
          <cell r="G2695">
            <v>20</v>
          </cell>
          <cell r="H2695" t="str">
            <v>DNA基因组</v>
          </cell>
          <cell r="I2695">
            <v>590</v>
          </cell>
          <cell r="J2695" t="str">
            <v>34.47</v>
          </cell>
          <cell r="K2695" t="str">
            <v>82.81</v>
          </cell>
          <cell r="L2695" t="str">
            <v>合格</v>
          </cell>
          <cell r="M2695" t="str">
            <v>朱绪涛</v>
          </cell>
          <cell r="N2695" t="str">
            <v>20181212-19</v>
          </cell>
          <cell r="Q2695">
            <v>590</v>
          </cell>
        </row>
        <row r="2696">
          <cell r="E2696" t="str">
            <v>HFMET181211A2833-96-124</v>
          </cell>
          <cell r="F2696" t="str">
            <v>Meta 56，C06</v>
          </cell>
          <cell r="G2696">
            <v>20</v>
          </cell>
          <cell r="H2696" t="str">
            <v>DNA基因组</v>
          </cell>
          <cell r="I2696">
            <v>564</v>
          </cell>
          <cell r="J2696" t="str">
            <v>25.03</v>
          </cell>
          <cell r="K2696" t="str">
            <v>61.57</v>
          </cell>
          <cell r="L2696" t="str">
            <v>合格</v>
          </cell>
          <cell r="M2696" t="str">
            <v>朱绪涛</v>
          </cell>
          <cell r="N2696" t="str">
            <v>20181212-20</v>
          </cell>
          <cell r="Q2696">
            <v>564</v>
          </cell>
        </row>
        <row r="2697">
          <cell r="E2697" t="str">
            <v>HFMET181211A2834-97-124</v>
          </cell>
          <cell r="F2697" t="str">
            <v>Meta 56，C07</v>
          </cell>
          <cell r="G2697">
            <v>20</v>
          </cell>
          <cell r="H2697" t="str">
            <v>DNA基因组</v>
          </cell>
          <cell r="I2697">
            <v>612</v>
          </cell>
          <cell r="J2697" t="str">
            <v>6.62</v>
          </cell>
          <cell r="K2697" t="str">
            <v>16.00</v>
          </cell>
          <cell r="L2697" t="str">
            <v>合格</v>
          </cell>
          <cell r="M2697" t="str">
            <v>朱绪涛</v>
          </cell>
          <cell r="N2697" t="str">
            <v>20181212-21</v>
          </cell>
          <cell r="Q2697">
            <v>612</v>
          </cell>
        </row>
        <row r="2698">
          <cell r="E2698" t="str">
            <v>HFMET181211A2835-98-124</v>
          </cell>
          <cell r="F2698" t="str">
            <v>Meta 56，C08</v>
          </cell>
          <cell r="G2698">
            <v>20</v>
          </cell>
          <cell r="H2698" t="str">
            <v>DNA基因组</v>
          </cell>
          <cell r="I2698">
            <v>564</v>
          </cell>
          <cell r="J2698" t="str">
            <v>25.15</v>
          </cell>
          <cell r="K2698" t="str">
            <v>62.70</v>
          </cell>
          <cell r="L2698" t="str">
            <v>合格</v>
          </cell>
          <cell r="M2698" t="str">
            <v>朱绪涛</v>
          </cell>
          <cell r="N2698" t="str">
            <v>20181212-22</v>
          </cell>
          <cell r="Q2698">
            <v>564</v>
          </cell>
        </row>
        <row r="2699">
          <cell r="E2699" t="str">
            <v>HFMET181211A2836-99-124</v>
          </cell>
          <cell r="F2699" t="str">
            <v>Meta 56，C09</v>
          </cell>
          <cell r="G2699">
            <v>20</v>
          </cell>
          <cell r="H2699" t="str">
            <v>DNA基因组</v>
          </cell>
          <cell r="I2699">
            <v>581</v>
          </cell>
          <cell r="J2699" t="str">
            <v>19.83</v>
          </cell>
          <cell r="K2699" t="str">
            <v>49.10</v>
          </cell>
          <cell r="L2699" t="str">
            <v>合格</v>
          </cell>
          <cell r="M2699" t="str">
            <v>朱绪涛</v>
          </cell>
          <cell r="N2699" t="str">
            <v>20181212-23</v>
          </cell>
          <cell r="Q2699">
            <v>581</v>
          </cell>
        </row>
        <row r="2700">
          <cell r="E2700" t="str">
            <v>HFMET181211A2837-100-124</v>
          </cell>
          <cell r="F2700" t="str">
            <v>Meta 56，C10</v>
          </cell>
          <cell r="G2700">
            <v>20</v>
          </cell>
          <cell r="H2700" t="str">
            <v>DNA基因组</v>
          </cell>
          <cell r="I2700">
            <v>623</v>
          </cell>
          <cell r="J2700" t="str">
            <v>5.10</v>
          </cell>
          <cell r="K2700" t="str">
            <v>12.45</v>
          </cell>
          <cell r="L2700" t="str">
            <v>合格</v>
          </cell>
          <cell r="M2700" t="str">
            <v>朱绪涛</v>
          </cell>
          <cell r="N2700" t="str">
            <v>20181212-24</v>
          </cell>
          <cell r="Q2700">
            <v>623</v>
          </cell>
        </row>
        <row r="2701">
          <cell r="E2701" t="str">
            <v>HFMET181211A2838-109-124</v>
          </cell>
          <cell r="F2701" t="str">
            <v>Meta 56，C11</v>
          </cell>
          <cell r="G2701">
            <v>20</v>
          </cell>
          <cell r="H2701" t="str">
            <v>DNA基因组</v>
          </cell>
          <cell r="I2701">
            <v>615</v>
          </cell>
          <cell r="J2701" t="str">
            <v>7.14</v>
          </cell>
          <cell r="K2701" t="str">
            <v>17.32</v>
          </cell>
          <cell r="L2701" t="str">
            <v>合格</v>
          </cell>
          <cell r="M2701" t="str">
            <v>朱绪涛</v>
          </cell>
          <cell r="N2701" t="str">
            <v>20181212-25</v>
          </cell>
          <cell r="Q2701">
            <v>615</v>
          </cell>
        </row>
        <row r="2702">
          <cell r="E2702" t="str">
            <v>HFMET181211A2839-110-124</v>
          </cell>
          <cell r="F2702" t="str">
            <v>Meta 56，C12</v>
          </cell>
          <cell r="G2702">
            <v>20</v>
          </cell>
          <cell r="H2702" t="str">
            <v>DNA基因组</v>
          </cell>
          <cell r="I2702">
            <v>594</v>
          </cell>
          <cell r="J2702" t="str">
            <v>23.75</v>
          </cell>
          <cell r="K2702" t="str">
            <v>57.16</v>
          </cell>
          <cell r="L2702" t="str">
            <v>合格</v>
          </cell>
          <cell r="M2702" t="str">
            <v>朱绪涛</v>
          </cell>
          <cell r="N2702" t="str">
            <v>20181212-26</v>
          </cell>
          <cell r="Q2702">
            <v>594</v>
          </cell>
        </row>
        <row r="2703">
          <cell r="E2703" t="str">
            <v>HFMET181211A2840-110-124</v>
          </cell>
          <cell r="F2703" t="str">
            <v>Meta 56，D01</v>
          </cell>
          <cell r="G2703">
            <v>20</v>
          </cell>
          <cell r="I2703" t="str">
            <v>无目的峰</v>
          </cell>
          <cell r="J2703">
            <v>5.6899999999999999E-2</v>
          </cell>
          <cell r="K2703">
            <v>0.161027</v>
          </cell>
          <cell r="L2703" t="str">
            <v>合格</v>
          </cell>
          <cell r="M2703" t="str">
            <v>朱绪涛</v>
          </cell>
          <cell r="N2703" t="str">
            <v>20181212-27</v>
          </cell>
          <cell r="Q2703" t="str">
            <v>无目的峰</v>
          </cell>
        </row>
        <row r="2704">
          <cell r="E2704" t="str">
            <v>HFMET181211A2841-62-82</v>
          </cell>
          <cell r="F2704" t="str">
            <v>Meta 56，D02</v>
          </cell>
          <cell r="G2704">
            <v>20</v>
          </cell>
          <cell r="H2704" t="str">
            <v>醋</v>
          </cell>
          <cell r="I2704" t="str">
            <v>无</v>
          </cell>
          <cell r="J2704" t="str">
            <v>0.08</v>
          </cell>
          <cell r="K2704" t="str">
            <v>0.32</v>
          </cell>
          <cell r="L2704" t="str">
            <v>不合格</v>
          </cell>
          <cell r="M2704" t="str">
            <v>朱绪涛</v>
          </cell>
          <cell r="N2704" t="str">
            <v>20181212-28</v>
          </cell>
          <cell r="Q2704" t="str">
            <v>无</v>
          </cell>
        </row>
        <row r="2705">
          <cell r="E2705" t="str">
            <v>HFMET181211A2842-63-82</v>
          </cell>
          <cell r="F2705" t="str">
            <v>Meta 56，D03</v>
          </cell>
          <cell r="G2705">
            <v>20</v>
          </cell>
          <cell r="H2705" t="str">
            <v>醋</v>
          </cell>
          <cell r="I2705" t="str">
            <v>无</v>
          </cell>
          <cell r="J2705" t="str">
            <v>0.01</v>
          </cell>
          <cell r="K2705" t="str">
            <v>0.05</v>
          </cell>
          <cell r="L2705" t="str">
            <v>不合格</v>
          </cell>
          <cell r="M2705" t="str">
            <v>朱绪涛</v>
          </cell>
          <cell r="N2705" t="str">
            <v>20181212-29</v>
          </cell>
          <cell r="Q2705" t="str">
            <v>无</v>
          </cell>
        </row>
        <row r="2706">
          <cell r="E2706" t="str">
            <v>HFMET181211A2843-64-82</v>
          </cell>
          <cell r="F2706" t="str">
            <v>Meta 56，D04</v>
          </cell>
          <cell r="G2706">
            <v>20</v>
          </cell>
          <cell r="H2706" t="str">
            <v>醋</v>
          </cell>
          <cell r="I2706" t="str">
            <v>无</v>
          </cell>
          <cell r="J2706" t="str">
            <v>0.07</v>
          </cell>
          <cell r="K2706" t="str">
            <v>0.28</v>
          </cell>
          <cell r="L2706" t="str">
            <v>不合格</v>
          </cell>
          <cell r="M2706" t="str">
            <v>朱绪涛</v>
          </cell>
          <cell r="N2706" t="str">
            <v>20181212-30</v>
          </cell>
          <cell r="Q2706" t="str">
            <v>无</v>
          </cell>
        </row>
        <row r="2707">
          <cell r="E2707" t="str">
            <v>HFMET181211A2844-64-82</v>
          </cell>
          <cell r="F2707" t="str">
            <v>Meta 56，D05</v>
          </cell>
          <cell r="G2707">
            <v>20</v>
          </cell>
          <cell r="I2707" t="str">
            <v>无目的峰</v>
          </cell>
          <cell r="J2707" t="str">
            <v>0.03</v>
          </cell>
          <cell r="K2707">
            <v>8.4900000000000003E-2</v>
          </cell>
          <cell r="L2707" t="str">
            <v>合格</v>
          </cell>
          <cell r="M2707" t="str">
            <v>朱绪涛</v>
          </cell>
          <cell r="N2707" t="str">
            <v>20181212-31</v>
          </cell>
          <cell r="Q2707" t="str">
            <v>无目的峰</v>
          </cell>
        </row>
        <row r="2708">
          <cell r="E2708" t="str">
            <v>HFMET181211A2845-57-74</v>
          </cell>
          <cell r="F2708" t="str">
            <v>Meta 56，D06</v>
          </cell>
          <cell r="G2708">
            <v>20</v>
          </cell>
          <cell r="H2708" t="str">
            <v>土壤</v>
          </cell>
          <cell r="I2708" t="str">
            <v>无</v>
          </cell>
          <cell r="J2708" t="str">
            <v>0.02</v>
          </cell>
          <cell r="K2708" t="str">
            <v>0.05</v>
          </cell>
          <cell r="L2708" t="str">
            <v>不合格</v>
          </cell>
          <cell r="M2708" t="str">
            <v>朱绪涛</v>
          </cell>
          <cell r="N2708" t="str">
            <v>20181212-32</v>
          </cell>
          <cell r="Q2708" t="str">
            <v>无</v>
          </cell>
        </row>
        <row r="2709">
          <cell r="E2709" t="str">
            <v>HFMET181211A2846-57-74</v>
          </cell>
          <cell r="F2709" t="str">
            <v>Meta 56，D07</v>
          </cell>
          <cell r="G2709">
            <v>20</v>
          </cell>
          <cell r="I2709" t="str">
            <v>无目的峰</v>
          </cell>
          <cell r="J2709" t="str">
            <v>0.02</v>
          </cell>
          <cell r="K2709">
            <v>5.6599999999999998E-2</v>
          </cell>
          <cell r="L2709" t="str">
            <v>合格</v>
          </cell>
          <cell r="M2709" t="str">
            <v>朱绪涛</v>
          </cell>
          <cell r="N2709" t="str">
            <v>20181212-33</v>
          </cell>
          <cell r="Q2709" t="str">
            <v>无目的峰</v>
          </cell>
        </row>
        <row r="2710">
          <cell r="E2710" t="str">
            <v>HFMET181211A2847-52-77</v>
          </cell>
          <cell r="F2710" t="str">
            <v>Meta 56，D08</v>
          </cell>
          <cell r="G2710">
            <v>20</v>
          </cell>
          <cell r="H2710" t="str">
            <v>土壤</v>
          </cell>
          <cell r="I2710" t="str">
            <v>峰形异常</v>
          </cell>
          <cell r="J2710" t="str">
            <v>5.07</v>
          </cell>
          <cell r="K2710" t="str">
            <v>24.33</v>
          </cell>
          <cell r="L2710" t="str">
            <v>不合格</v>
          </cell>
          <cell r="M2710" t="str">
            <v>朱绪涛</v>
          </cell>
          <cell r="N2710" t="str">
            <v>20181212-34</v>
          </cell>
          <cell r="Q2710" t="str">
            <v>峰形异常</v>
          </cell>
        </row>
        <row r="2711">
          <cell r="E2711" t="str">
            <v>HFMET181211A2848-52-77</v>
          </cell>
          <cell r="F2711" t="str">
            <v>Meta 56，D09</v>
          </cell>
          <cell r="G2711">
            <v>20</v>
          </cell>
          <cell r="I2711" t="str">
            <v>无目的峰</v>
          </cell>
          <cell r="J2711">
            <v>7.9799999999999996E-2</v>
          </cell>
          <cell r="K2711">
            <v>0.22583400000000001</v>
          </cell>
          <cell r="L2711" t="str">
            <v>合格</v>
          </cell>
          <cell r="M2711" t="str">
            <v>朱绪涛</v>
          </cell>
          <cell r="N2711" t="str">
            <v>20181212-35</v>
          </cell>
          <cell r="Q2711" t="str">
            <v>无目的峰</v>
          </cell>
        </row>
        <row r="2713">
          <cell r="E2713" t="str">
            <v>HFMET181212A2849-95-127</v>
          </cell>
          <cell r="F2713" t="str">
            <v>Meta 56，D10</v>
          </cell>
          <cell r="G2713">
            <v>20</v>
          </cell>
          <cell r="H2713" t="str">
            <v>中药灌肠</v>
          </cell>
          <cell r="I2713">
            <v>557</v>
          </cell>
          <cell r="J2713">
            <v>26.49</v>
          </cell>
          <cell r="K2713">
            <v>65.760000000000005</v>
          </cell>
          <cell r="L2713" t="str">
            <v>合格</v>
          </cell>
          <cell r="M2713" t="str">
            <v>孙家孟/王建敏/张思祺</v>
          </cell>
          <cell r="N2713" t="str">
            <v>20181213003-1</v>
          </cell>
          <cell r="Q2713">
            <v>557</v>
          </cell>
        </row>
        <row r="2714">
          <cell r="E2714" t="str">
            <v>HFMET181212A2850-96-127</v>
          </cell>
          <cell r="F2714" t="str">
            <v>Meta 56，D11</v>
          </cell>
          <cell r="G2714">
            <v>20</v>
          </cell>
          <cell r="H2714" t="str">
            <v>中药灌肠</v>
          </cell>
          <cell r="I2714">
            <v>561</v>
          </cell>
          <cell r="J2714">
            <v>31.61</v>
          </cell>
          <cell r="K2714">
            <v>77.5</v>
          </cell>
          <cell r="L2714" t="str">
            <v>合格</v>
          </cell>
          <cell r="M2714" t="str">
            <v>孙家孟/王建敏/张思祺</v>
          </cell>
          <cell r="N2714" t="str">
            <v>20181213003-2</v>
          </cell>
          <cell r="Q2714">
            <v>561</v>
          </cell>
        </row>
        <row r="2715">
          <cell r="E2715" t="str">
            <v>HFMET181212A2851-97-127</v>
          </cell>
          <cell r="F2715" t="str">
            <v>Meta 56，D12</v>
          </cell>
          <cell r="G2715">
            <v>20</v>
          </cell>
          <cell r="H2715" t="str">
            <v>粪便</v>
          </cell>
          <cell r="I2715">
            <v>570</v>
          </cell>
          <cell r="J2715">
            <v>39.42</v>
          </cell>
          <cell r="K2715">
            <v>95.97</v>
          </cell>
          <cell r="L2715" t="str">
            <v>合格</v>
          </cell>
          <cell r="M2715" t="str">
            <v>孙家孟/王建敏/张思祺</v>
          </cell>
          <cell r="N2715" t="str">
            <v>20181213003-3</v>
          </cell>
          <cell r="Q2715">
            <v>570</v>
          </cell>
        </row>
        <row r="2716">
          <cell r="E2716" t="str">
            <v>HFMET181212A2852-98-127</v>
          </cell>
          <cell r="F2716" t="str">
            <v>Meta 56，E01</v>
          </cell>
          <cell r="G2716">
            <v>20</v>
          </cell>
          <cell r="H2716" t="str">
            <v>粪便</v>
          </cell>
          <cell r="I2716">
            <v>570</v>
          </cell>
          <cell r="J2716">
            <v>51.17</v>
          </cell>
          <cell r="K2716">
            <v>126.91</v>
          </cell>
          <cell r="L2716" t="str">
            <v>合格</v>
          </cell>
          <cell r="M2716" t="str">
            <v>孙家孟/王建敏/张思祺</v>
          </cell>
          <cell r="N2716" t="str">
            <v>20181213003-4</v>
          </cell>
          <cell r="Q2716">
            <v>570</v>
          </cell>
        </row>
        <row r="2717">
          <cell r="E2717" t="str">
            <v>HFMET181212A2853-99-127</v>
          </cell>
          <cell r="F2717" t="str">
            <v>Meta 56，E02</v>
          </cell>
          <cell r="G2717">
            <v>20</v>
          </cell>
          <cell r="H2717" t="str">
            <v>中药灌肠</v>
          </cell>
          <cell r="I2717">
            <v>565</v>
          </cell>
          <cell r="J2717">
            <v>32.61</v>
          </cell>
          <cell r="K2717">
            <v>82.67</v>
          </cell>
          <cell r="L2717" t="str">
            <v>合格</v>
          </cell>
          <cell r="M2717" t="str">
            <v>孙家孟/王建敏/张思祺</v>
          </cell>
          <cell r="N2717" t="str">
            <v>20181213003-5</v>
          </cell>
          <cell r="Q2717">
            <v>565</v>
          </cell>
        </row>
        <row r="2718">
          <cell r="E2718" t="str">
            <v>HFMET181212A2854-100-127</v>
          </cell>
          <cell r="F2718" t="str">
            <v>Meta 56，E03</v>
          </cell>
          <cell r="G2718">
            <v>20</v>
          </cell>
          <cell r="H2718" t="str">
            <v>粪便</v>
          </cell>
          <cell r="I2718">
            <v>562</v>
          </cell>
          <cell r="J2718">
            <v>43</v>
          </cell>
          <cell r="K2718">
            <v>108.88</v>
          </cell>
          <cell r="L2718" t="str">
            <v>合格</v>
          </cell>
          <cell r="M2718" t="str">
            <v>孙家孟/王建敏/张思祺</v>
          </cell>
          <cell r="N2718" t="str">
            <v>20181213003-6</v>
          </cell>
          <cell r="Q2718">
            <v>562</v>
          </cell>
        </row>
        <row r="2719">
          <cell r="E2719" t="str">
            <v>HFMET181212A2855-109-127</v>
          </cell>
          <cell r="F2719" t="str">
            <v>Meta 56，E04</v>
          </cell>
          <cell r="G2719">
            <v>20</v>
          </cell>
          <cell r="H2719" t="str">
            <v>中药灌肠</v>
          </cell>
          <cell r="I2719">
            <v>559</v>
          </cell>
          <cell r="J2719">
            <v>50.6</v>
          </cell>
          <cell r="K2719">
            <v>124.35</v>
          </cell>
          <cell r="L2719" t="str">
            <v>合格</v>
          </cell>
          <cell r="M2719" t="str">
            <v>孙家孟/王建敏/张思祺</v>
          </cell>
          <cell r="N2719" t="str">
            <v>20181213003-7</v>
          </cell>
          <cell r="Q2719">
            <v>559</v>
          </cell>
        </row>
        <row r="2720">
          <cell r="E2720" t="str">
            <v>HFMET181212A2856-110-127</v>
          </cell>
          <cell r="F2720" t="str">
            <v>Meta 56，E05</v>
          </cell>
          <cell r="G2720">
            <v>20</v>
          </cell>
          <cell r="H2720" t="str">
            <v>粪便</v>
          </cell>
          <cell r="I2720">
            <v>553</v>
          </cell>
          <cell r="J2720">
            <v>42.14</v>
          </cell>
          <cell r="K2720">
            <v>107.62</v>
          </cell>
          <cell r="L2720" t="str">
            <v>合格</v>
          </cell>
          <cell r="M2720" t="str">
            <v>孙家孟/王建敏/张思祺</v>
          </cell>
          <cell r="N2720" t="str">
            <v>20181213003-8</v>
          </cell>
          <cell r="Q2720">
            <v>553</v>
          </cell>
        </row>
        <row r="2721">
          <cell r="E2721" t="str">
            <v>HFMET181212A2857-95-128</v>
          </cell>
          <cell r="F2721" t="str">
            <v>Meta 56，E06</v>
          </cell>
          <cell r="G2721">
            <v>20</v>
          </cell>
          <cell r="H2721" t="str">
            <v>中药灌肠</v>
          </cell>
          <cell r="I2721">
            <v>561</v>
          </cell>
          <cell r="J2721">
            <v>49.69</v>
          </cell>
          <cell r="K2721">
            <v>123.98</v>
          </cell>
          <cell r="L2721" t="str">
            <v>合格</v>
          </cell>
          <cell r="M2721" t="str">
            <v>孙家孟/王建敏/张思祺</v>
          </cell>
          <cell r="N2721" t="str">
            <v>20181213003-9</v>
          </cell>
          <cell r="Q2721">
            <v>561</v>
          </cell>
        </row>
        <row r="2722">
          <cell r="E2722" t="str">
            <v>HFMET181212A2858-96-128</v>
          </cell>
          <cell r="F2722" t="str">
            <v>Meta 56，E07</v>
          </cell>
          <cell r="G2722">
            <v>20</v>
          </cell>
          <cell r="H2722" t="str">
            <v>粪便</v>
          </cell>
          <cell r="I2722">
            <v>539</v>
          </cell>
          <cell r="J2722">
            <v>55.2</v>
          </cell>
          <cell r="K2722">
            <v>136.58000000000001</v>
          </cell>
          <cell r="L2722" t="str">
            <v>合格</v>
          </cell>
          <cell r="M2722" t="str">
            <v>孙家孟/王建敏/张思祺</v>
          </cell>
          <cell r="N2722" t="str">
            <v>20181213003-10</v>
          </cell>
          <cell r="Q2722">
            <v>539</v>
          </cell>
        </row>
        <row r="2723">
          <cell r="E2723" t="str">
            <v>HFMET181212A2859-97-128</v>
          </cell>
          <cell r="F2723" t="str">
            <v>Meta 56，E08</v>
          </cell>
          <cell r="G2723">
            <v>20</v>
          </cell>
          <cell r="H2723" t="str">
            <v>中药灌肠</v>
          </cell>
          <cell r="I2723">
            <v>594</v>
          </cell>
          <cell r="J2723">
            <v>30.13</v>
          </cell>
          <cell r="K2723">
            <v>71.209999999999994</v>
          </cell>
          <cell r="L2723" t="str">
            <v>合格</v>
          </cell>
          <cell r="M2723" t="str">
            <v>孙家孟/王建敏/张思祺</v>
          </cell>
          <cell r="N2723" t="str">
            <v>20181213003-11</v>
          </cell>
          <cell r="Q2723">
            <v>594</v>
          </cell>
        </row>
        <row r="2724">
          <cell r="E2724" t="str">
            <v>HFMET181212A2860-98-128</v>
          </cell>
          <cell r="F2724" t="str">
            <v>Meta 56，E09</v>
          </cell>
          <cell r="G2724">
            <v>20</v>
          </cell>
          <cell r="H2724" t="str">
            <v>粪便</v>
          </cell>
          <cell r="I2724">
            <v>559</v>
          </cell>
          <cell r="J2724">
            <v>46.68</v>
          </cell>
          <cell r="K2724">
            <v>116.03</v>
          </cell>
          <cell r="L2724" t="str">
            <v>合格</v>
          </cell>
          <cell r="M2724" t="str">
            <v>孙家孟/王建敏/张思祺</v>
          </cell>
          <cell r="N2724" t="str">
            <v>20181213003-12</v>
          </cell>
          <cell r="Q2724">
            <v>559</v>
          </cell>
        </row>
        <row r="2725">
          <cell r="E2725" t="str">
            <v>HFMET181212A2861-99-128</v>
          </cell>
          <cell r="F2725" t="str">
            <v>Meta 56，E10</v>
          </cell>
          <cell r="G2725">
            <v>20</v>
          </cell>
          <cell r="H2725" t="str">
            <v>粪便</v>
          </cell>
          <cell r="I2725">
            <v>561</v>
          </cell>
          <cell r="J2725">
            <v>21.97</v>
          </cell>
          <cell r="K2725">
            <v>55.96</v>
          </cell>
          <cell r="L2725" t="str">
            <v>合格</v>
          </cell>
          <cell r="M2725" t="str">
            <v>孙家孟/王建敏/张思祺</v>
          </cell>
          <cell r="N2725" t="str">
            <v>20181213003-13</v>
          </cell>
          <cell r="Q2725">
            <v>561</v>
          </cell>
        </row>
        <row r="2726">
          <cell r="E2726" t="str">
            <v>HFMET181212A2862-100-128</v>
          </cell>
          <cell r="F2726" t="str">
            <v>Meta 56，E11</v>
          </cell>
          <cell r="G2726">
            <v>20</v>
          </cell>
          <cell r="H2726" t="str">
            <v>粪便</v>
          </cell>
          <cell r="I2726">
            <v>550</v>
          </cell>
          <cell r="J2726">
            <v>42.5</v>
          </cell>
          <cell r="K2726">
            <v>108.18</v>
          </cell>
          <cell r="L2726" t="str">
            <v>合格</v>
          </cell>
          <cell r="M2726" t="str">
            <v>孙家孟/王建敏/张思祺</v>
          </cell>
          <cell r="N2726" t="str">
            <v>20181213003-14</v>
          </cell>
          <cell r="Q2726">
            <v>550</v>
          </cell>
        </row>
        <row r="2727">
          <cell r="E2727" t="str">
            <v>HFMET181212A2863-109-128</v>
          </cell>
          <cell r="F2727" t="str">
            <v>Meta 56，E12</v>
          </cell>
          <cell r="G2727">
            <v>20</v>
          </cell>
          <cell r="H2727" t="str">
            <v>粪便</v>
          </cell>
          <cell r="I2727">
            <v>567</v>
          </cell>
          <cell r="J2727">
            <v>43.51</v>
          </cell>
          <cell r="K2727">
            <v>108.31</v>
          </cell>
          <cell r="L2727" t="str">
            <v>合格</v>
          </cell>
          <cell r="M2727" t="str">
            <v>孙家孟/王建敏/张思祺</v>
          </cell>
          <cell r="N2727" t="str">
            <v>20181213003-15</v>
          </cell>
          <cell r="Q2727">
            <v>567</v>
          </cell>
        </row>
        <row r="2728">
          <cell r="E2728" t="str">
            <v>HFMET181212A2864-110-128</v>
          </cell>
          <cell r="F2728" t="str">
            <v>Meta 56，F01</v>
          </cell>
          <cell r="G2728">
            <v>20</v>
          </cell>
          <cell r="H2728" t="str">
            <v>粪便</v>
          </cell>
          <cell r="I2728">
            <v>575</v>
          </cell>
          <cell r="J2728">
            <v>41.51</v>
          </cell>
          <cell r="K2728">
            <v>101.48</v>
          </cell>
          <cell r="L2728" t="str">
            <v>合格</v>
          </cell>
          <cell r="M2728" t="str">
            <v>孙家孟/王建敏/张思祺</v>
          </cell>
          <cell r="N2728" t="str">
            <v>20181213003-16</v>
          </cell>
          <cell r="Q2728">
            <v>575</v>
          </cell>
        </row>
        <row r="2729">
          <cell r="E2729" t="str">
            <v>HFMET181212A2865-95-129</v>
          </cell>
          <cell r="F2729" t="str">
            <v>Meta 56，F02</v>
          </cell>
          <cell r="G2729">
            <v>20</v>
          </cell>
          <cell r="H2729" t="str">
            <v>粪便</v>
          </cell>
          <cell r="I2729">
            <v>565</v>
          </cell>
          <cell r="J2729">
            <v>43.73</v>
          </cell>
          <cell r="K2729">
            <v>108.05</v>
          </cell>
          <cell r="L2729" t="str">
            <v>合格</v>
          </cell>
          <cell r="M2729" t="str">
            <v>孙家孟/王建敏/张思祺</v>
          </cell>
          <cell r="N2729" t="str">
            <v>20181213003-17</v>
          </cell>
          <cell r="Q2729">
            <v>565</v>
          </cell>
        </row>
        <row r="2730">
          <cell r="E2730" t="str">
            <v>HFMET181212A2866-96-129</v>
          </cell>
          <cell r="F2730" t="str">
            <v>Meta 56，F03</v>
          </cell>
          <cell r="G2730">
            <v>20</v>
          </cell>
          <cell r="H2730" t="str">
            <v>粪便</v>
          </cell>
          <cell r="I2730">
            <v>574</v>
          </cell>
          <cell r="J2730">
            <v>42.07</v>
          </cell>
          <cell r="K2730">
            <v>102.2</v>
          </cell>
          <cell r="L2730" t="str">
            <v>合格</v>
          </cell>
          <cell r="M2730" t="str">
            <v>孙家孟/王建敏/张思祺</v>
          </cell>
          <cell r="N2730" t="str">
            <v>20181213003-18</v>
          </cell>
          <cell r="Q2730">
            <v>574</v>
          </cell>
        </row>
        <row r="2731">
          <cell r="E2731" t="str">
            <v>HFMET181212A2867-97-129</v>
          </cell>
          <cell r="F2731" t="str">
            <v>Meta 56，F04</v>
          </cell>
          <cell r="G2731">
            <v>20</v>
          </cell>
          <cell r="H2731" t="str">
            <v>粪便</v>
          </cell>
          <cell r="I2731">
            <v>572</v>
          </cell>
          <cell r="J2731">
            <v>38.72</v>
          </cell>
          <cell r="K2731">
            <v>94.87</v>
          </cell>
          <cell r="L2731" t="str">
            <v>合格</v>
          </cell>
          <cell r="M2731" t="str">
            <v>孙家孟/王建敏/张思祺</v>
          </cell>
          <cell r="N2731" t="str">
            <v>20181213003-19</v>
          </cell>
          <cell r="Q2731">
            <v>572</v>
          </cell>
        </row>
        <row r="2732">
          <cell r="E2732" t="str">
            <v>HFMET181212A2868-98-129</v>
          </cell>
          <cell r="F2732" t="str">
            <v>Meta 56，F05</v>
          </cell>
          <cell r="G2732">
            <v>20</v>
          </cell>
          <cell r="H2732" t="str">
            <v>粪便</v>
          </cell>
          <cell r="I2732">
            <v>579</v>
          </cell>
          <cell r="J2732">
            <v>35.159999999999997</v>
          </cell>
          <cell r="K2732">
            <v>85.08</v>
          </cell>
          <cell r="L2732" t="str">
            <v>合格</v>
          </cell>
          <cell r="M2732" t="str">
            <v>孙家孟/王建敏/张思祺</v>
          </cell>
          <cell r="N2732" t="str">
            <v>20181213003-20</v>
          </cell>
          <cell r="Q2732">
            <v>579</v>
          </cell>
        </row>
        <row r="2733">
          <cell r="E2733" t="str">
            <v>HFMET181212A2869-99-129</v>
          </cell>
          <cell r="F2733" t="str">
            <v>Meta 56，F06</v>
          </cell>
          <cell r="G2733">
            <v>20</v>
          </cell>
          <cell r="H2733" t="str">
            <v>粪便</v>
          </cell>
          <cell r="I2733">
            <v>577</v>
          </cell>
          <cell r="J2733">
            <v>22.03</v>
          </cell>
          <cell r="K2733">
            <v>55.44</v>
          </cell>
          <cell r="L2733" t="str">
            <v>合格</v>
          </cell>
          <cell r="M2733" t="str">
            <v>孙家孟/王建敏/张思祺</v>
          </cell>
          <cell r="N2733" t="str">
            <v>20181213003-21</v>
          </cell>
          <cell r="Q2733">
            <v>577</v>
          </cell>
        </row>
        <row r="2734">
          <cell r="E2734" t="str">
            <v>HFMET181212A2870-100-129</v>
          </cell>
          <cell r="F2734" t="str">
            <v>Meta 56，F07</v>
          </cell>
          <cell r="G2734">
            <v>20</v>
          </cell>
          <cell r="H2734" t="str">
            <v>粪便</v>
          </cell>
          <cell r="I2734">
            <v>583</v>
          </cell>
          <cell r="J2734">
            <v>28.24</v>
          </cell>
          <cell r="K2734">
            <v>68.069999999999993</v>
          </cell>
          <cell r="L2734" t="str">
            <v>合格</v>
          </cell>
          <cell r="M2734" t="str">
            <v>孙家孟/王建敏/张思祺</v>
          </cell>
          <cell r="N2734" t="str">
            <v>20181213003-22</v>
          </cell>
          <cell r="Q2734">
            <v>583</v>
          </cell>
        </row>
        <row r="2735">
          <cell r="E2735" t="str">
            <v>HFMET181212A2871-109-129</v>
          </cell>
          <cell r="F2735" t="str">
            <v>Meta 56，F08</v>
          </cell>
          <cell r="G2735">
            <v>20</v>
          </cell>
          <cell r="H2735" t="str">
            <v>粪便</v>
          </cell>
          <cell r="I2735">
            <v>585</v>
          </cell>
          <cell r="J2735">
            <v>24.94</v>
          </cell>
          <cell r="K2735">
            <v>59.51</v>
          </cell>
          <cell r="L2735" t="str">
            <v>合格</v>
          </cell>
          <cell r="M2735" t="str">
            <v>孙家孟/王建敏/张思祺</v>
          </cell>
          <cell r="N2735" t="str">
            <v>20181213003-23</v>
          </cell>
          <cell r="Q2735">
            <v>585</v>
          </cell>
        </row>
        <row r="2736">
          <cell r="E2736" t="str">
            <v>HFMET181212A2872-110-129</v>
          </cell>
          <cell r="F2736" t="str">
            <v>Meta 56，F09</v>
          </cell>
          <cell r="G2736">
            <v>20</v>
          </cell>
          <cell r="H2736" t="str">
            <v>粪便</v>
          </cell>
          <cell r="I2736">
            <v>591</v>
          </cell>
          <cell r="J2736">
            <v>19.47</v>
          </cell>
          <cell r="K2736">
            <v>47.24</v>
          </cell>
          <cell r="L2736" t="str">
            <v>合格</v>
          </cell>
          <cell r="M2736" t="str">
            <v>孙家孟/王建敏/张思祺</v>
          </cell>
          <cell r="N2736" t="str">
            <v>20181213003-24</v>
          </cell>
          <cell r="Q2736">
            <v>591</v>
          </cell>
        </row>
        <row r="2737">
          <cell r="E2737" t="str">
            <v>HFMET181212A2873-95-130</v>
          </cell>
          <cell r="F2737" t="str">
            <v>Meta 56，F10</v>
          </cell>
          <cell r="G2737">
            <v>20</v>
          </cell>
          <cell r="H2737" t="str">
            <v>中药灌肠</v>
          </cell>
          <cell r="I2737">
            <v>562</v>
          </cell>
          <cell r="J2737">
            <v>32.03</v>
          </cell>
          <cell r="K2737">
            <v>79.8</v>
          </cell>
          <cell r="L2737" t="str">
            <v>合格</v>
          </cell>
          <cell r="M2737" t="str">
            <v>孙家孟/王建敏/张思祺</v>
          </cell>
          <cell r="N2737" t="str">
            <v>20181213003-25</v>
          </cell>
          <cell r="Q2737">
            <v>562</v>
          </cell>
        </row>
        <row r="2738">
          <cell r="E2738" t="str">
            <v>HFMET181212A2874-96-130</v>
          </cell>
          <cell r="F2738" t="str">
            <v>Meta 56，F11</v>
          </cell>
          <cell r="G2738">
            <v>20</v>
          </cell>
          <cell r="H2738" t="str">
            <v>粪便</v>
          </cell>
          <cell r="I2738">
            <v>554</v>
          </cell>
          <cell r="J2738">
            <v>30.25</v>
          </cell>
          <cell r="K2738">
            <v>76.03</v>
          </cell>
          <cell r="L2738" t="str">
            <v>合格</v>
          </cell>
          <cell r="M2738" t="str">
            <v>孙家孟/王建敏/张思祺</v>
          </cell>
          <cell r="N2738" t="str">
            <v>20181213003-26</v>
          </cell>
          <cell r="Q2738">
            <v>554</v>
          </cell>
        </row>
        <row r="2739">
          <cell r="E2739" t="str">
            <v>HFMET181212A2875-97-130</v>
          </cell>
          <cell r="F2739" t="str">
            <v>Meta 56，F12</v>
          </cell>
          <cell r="G2739">
            <v>20</v>
          </cell>
          <cell r="H2739" t="str">
            <v>粪便</v>
          </cell>
          <cell r="I2739">
            <v>548</v>
          </cell>
          <cell r="J2739">
            <v>30.23</v>
          </cell>
          <cell r="K2739">
            <v>75.790000000000006</v>
          </cell>
          <cell r="L2739" t="str">
            <v>合格</v>
          </cell>
          <cell r="M2739" t="str">
            <v>孙家孟/王建敏/张思祺</v>
          </cell>
          <cell r="N2739" t="str">
            <v>20181213003-27</v>
          </cell>
          <cell r="Q2739">
            <v>548</v>
          </cell>
        </row>
        <row r="2740">
          <cell r="E2740" t="str">
            <v>HFMET181212A2876-98-130</v>
          </cell>
          <cell r="F2740" t="str">
            <v>Meta 56，G01</v>
          </cell>
          <cell r="G2740">
            <v>20</v>
          </cell>
          <cell r="H2740" t="str">
            <v>粪便</v>
          </cell>
          <cell r="I2740">
            <v>550</v>
          </cell>
          <cell r="J2740">
            <v>53.17</v>
          </cell>
          <cell r="K2740">
            <v>129.54</v>
          </cell>
          <cell r="L2740" t="str">
            <v>合格</v>
          </cell>
          <cell r="M2740" t="str">
            <v>孙家孟/王建敏/张思祺</v>
          </cell>
          <cell r="N2740" t="str">
            <v>20181213003-28</v>
          </cell>
          <cell r="Q2740">
            <v>550</v>
          </cell>
        </row>
        <row r="2741">
          <cell r="E2741" t="str">
            <v>HFMET181212A2877-99-130</v>
          </cell>
          <cell r="F2741" t="str">
            <v>Meta 56，G02</v>
          </cell>
          <cell r="G2741">
            <v>20</v>
          </cell>
          <cell r="H2741" t="str">
            <v>粪便</v>
          </cell>
          <cell r="I2741">
            <v>607</v>
          </cell>
          <cell r="J2741">
            <v>14.14</v>
          </cell>
          <cell r="K2741">
            <v>33.6</v>
          </cell>
          <cell r="L2741" t="str">
            <v>合格</v>
          </cell>
          <cell r="M2741" t="str">
            <v>孙家孟/王建敏/张思祺</v>
          </cell>
          <cell r="N2741" t="str">
            <v>20181213003-29</v>
          </cell>
          <cell r="Q2741">
            <v>607</v>
          </cell>
        </row>
        <row r="2742">
          <cell r="E2742" t="str">
            <v>HFMET181212A2878-100-130</v>
          </cell>
          <cell r="F2742" t="str">
            <v>Meta 56，G03</v>
          </cell>
          <cell r="G2742">
            <v>20</v>
          </cell>
          <cell r="H2742" t="str">
            <v>粪便</v>
          </cell>
          <cell r="I2742">
            <v>573</v>
          </cell>
          <cell r="J2742">
            <v>19.399999999999999</v>
          </cell>
          <cell r="K2742">
            <v>47.55</v>
          </cell>
          <cell r="L2742" t="str">
            <v>合格</v>
          </cell>
          <cell r="M2742" t="str">
            <v>孙家孟/王建敏/张思祺</v>
          </cell>
          <cell r="N2742" t="str">
            <v>20181213003-30</v>
          </cell>
          <cell r="Q2742">
            <v>573</v>
          </cell>
        </row>
        <row r="2743">
          <cell r="E2743" t="str">
            <v>HFMET181212A2879-109-130</v>
          </cell>
          <cell r="F2743" t="str">
            <v>Meta 56，G04</v>
          </cell>
          <cell r="G2743">
            <v>20</v>
          </cell>
          <cell r="H2743" t="str">
            <v>粪便</v>
          </cell>
          <cell r="I2743">
            <v>575</v>
          </cell>
          <cell r="J2743">
            <v>35.42</v>
          </cell>
          <cell r="K2743">
            <v>85.49</v>
          </cell>
          <cell r="L2743" t="str">
            <v>合格</v>
          </cell>
          <cell r="M2743" t="str">
            <v>孙家孟/王建敏/张思祺</v>
          </cell>
          <cell r="N2743" t="str">
            <v>20181213003-31</v>
          </cell>
          <cell r="Q2743">
            <v>575</v>
          </cell>
        </row>
        <row r="2744">
          <cell r="E2744" t="str">
            <v>HFMET181212A2880-110-130</v>
          </cell>
          <cell r="F2744" t="str">
            <v>Meta 56，G05</v>
          </cell>
          <cell r="G2744">
            <v>20</v>
          </cell>
          <cell r="H2744" t="str">
            <v>粪便</v>
          </cell>
          <cell r="I2744">
            <v>573</v>
          </cell>
          <cell r="J2744">
            <v>29.57</v>
          </cell>
          <cell r="K2744">
            <v>72.430000000000007</v>
          </cell>
          <cell r="L2744" t="str">
            <v>合格</v>
          </cell>
          <cell r="M2744" t="str">
            <v>孙家孟/王建敏/张思祺</v>
          </cell>
          <cell r="N2744" t="str">
            <v>20181213003-32</v>
          </cell>
          <cell r="Q2744">
            <v>573</v>
          </cell>
        </row>
        <row r="2745">
          <cell r="E2745" t="str">
            <v>HFMET181212A2881-95-131</v>
          </cell>
          <cell r="F2745" t="str">
            <v>Meta 56，G06</v>
          </cell>
          <cell r="G2745">
            <v>20</v>
          </cell>
          <cell r="H2745" t="str">
            <v>粪便</v>
          </cell>
          <cell r="I2745">
            <v>579</v>
          </cell>
          <cell r="J2745">
            <v>26.1</v>
          </cell>
          <cell r="K2745">
            <v>61.75</v>
          </cell>
          <cell r="L2745" t="str">
            <v>合格</v>
          </cell>
          <cell r="M2745" t="str">
            <v>孙家孟/王建敏/张思祺</v>
          </cell>
          <cell r="N2745" t="str">
            <v>20181213003-33</v>
          </cell>
          <cell r="Q2745">
            <v>579</v>
          </cell>
        </row>
        <row r="2746">
          <cell r="E2746" t="str">
            <v>HFMET181212A2882-96-131</v>
          </cell>
          <cell r="F2746" t="str">
            <v>Meta 56，G07</v>
          </cell>
          <cell r="G2746">
            <v>20</v>
          </cell>
          <cell r="H2746" t="str">
            <v>粪便</v>
          </cell>
          <cell r="I2746">
            <v>556</v>
          </cell>
          <cell r="J2746">
            <v>40.98</v>
          </cell>
          <cell r="K2746">
            <v>102.55</v>
          </cell>
          <cell r="L2746" t="str">
            <v>合格</v>
          </cell>
          <cell r="M2746" t="str">
            <v>孙家孟/王建敏/张思祺</v>
          </cell>
          <cell r="N2746" t="str">
            <v>20181213003-34</v>
          </cell>
          <cell r="Q2746">
            <v>556</v>
          </cell>
        </row>
        <row r="2747">
          <cell r="E2747" t="str">
            <v>HFMET181212A2883-97-131</v>
          </cell>
          <cell r="F2747" t="str">
            <v>Meta 56，G08</v>
          </cell>
          <cell r="G2747">
            <v>20</v>
          </cell>
          <cell r="H2747" t="str">
            <v>粪便</v>
          </cell>
          <cell r="I2747">
            <v>566</v>
          </cell>
          <cell r="J2747">
            <v>28.33</v>
          </cell>
          <cell r="K2747">
            <v>70.150000000000006</v>
          </cell>
          <cell r="L2747" t="str">
            <v>合格</v>
          </cell>
          <cell r="M2747" t="str">
            <v>孙家孟/王建敏/张思祺</v>
          </cell>
          <cell r="N2747" t="str">
            <v>20181213003-35</v>
          </cell>
          <cell r="Q2747">
            <v>566</v>
          </cell>
        </row>
        <row r="2748">
          <cell r="E2748" t="str">
            <v>HFMET181212A2884-98-131</v>
          </cell>
          <cell r="F2748" t="str">
            <v>Meta 56，G09</v>
          </cell>
          <cell r="G2748">
            <v>20</v>
          </cell>
          <cell r="H2748" t="str">
            <v>粪便</v>
          </cell>
          <cell r="I2748">
            <v>594</v>
          </cell>
          <cell r="J2748">
            <v>31.25</v>
          </cell>
          <cell r="K2748">
            <v>72.39</v>
          </cell>
          <cell r="L2748" t="str">
            <v>合格</v>
          </cell>
          <cell r="M2748" t="str">
            <v>孙家孟/王建敏/张思祺</v>
          </cell>
          <cell r="N2748" t="str">
            <v>20181213003-36</v>
          </cell>
          <cell r="Q2748">
            <v>594</v>
          </cell>
        </row>
        <row r="2749">
          <cell r="E2749" t="str">
            <v>HFMET181212A2885-99-131</v>
          </cell>
          <cell r="F2749" t="str">
            <v>Meta 56，G10</v>
          </cell>
          <cell r="G2749">
            <v>20</v>
          </cell>
          <cell r="H2749" t="str">
            <v>粪便</v>
          </cell>
          <cell r="I2749">
            <v>600</v>
          </cell>
          <cell r="J2749">
            <v>13.42</v>
          </cell>
          <cell r="K2749">
            <v>31.56</v>
          </cell>
          <cell r="L2749" t="str">
            <v>合格</v>
          </cell>
          <cell r="M2749" t="str">
            <v>孙家孟/王建敏/张思祺</v>
          </cell>
          <cell r="N2749" t="str">
            <v>20181213003-37</v>
          </cell>
          <cell r="Q2749">
            <v>600</v>
          </cell>
        </row>
        <row r="2750">
          <cell r="E2750" t="str">
            <v>HFMET181212A2886-100-131</v>
          </cell>
          <cell r="F2750" t="str">
            <v>Meta 56，G11</v>
          </cell>
          <cell r="G2750">
            <v>20</v>
          </cell>
          <cell r="H2750" t="str">
            <v>粪便</v>
          </cell>
          <cell r="I2750">
            <v>584</v>
          </cell>
          <cell r="J2750">
            <v>28.37</v>
          </cell>
          <cell r="K2750">
            <v>67.2</v>
          </cell>
          <cell r="L2750" t="str">
            <v>合格</v>
          </cell>
          <cell r="M2750" t="str">
            <v>孙家孟/王建敏/张思祺</v>
          </cell>
          <cell r="N2750" t="str">
            <v>20181213003-38</v>
          </cell>
          <cell r="Q2750">
            <v>584</v>
          </cell>
        </row>
        <row r="2751">
          <cell r="E2751" t="str">
            <v>HFMET181212A2887-109-131</v>
          </cell>
          <cell r="F2751" t="str">
            <v>Meta 56，G12</v>
          </cell>
          <cell r="G2751">
            <v>20</v>
          </cell>
          <cell r="H2751" t="str">
            <v>粪便</v>
          </cell>
          <cell r="I2751">
            <v>550</v>
          </cell>
          <cell r="J2751">
            <v>34.450000000000003</v>
          </cell>
          <cell r="K2751">
            <v>87.25</v>
          </cell>
          <cell r="L2751" t="str">
            <v>合格</v>
          </cell>
          <cell r="M2751" t="str">
            <v>孙家孟/王建敏/张思祺</v>
          </cell>
          <cell r="N2751" t="str">
            <v>20181213003-39</v>
          </cell>
          <cell r="Q2751">
            <v>550</v>
          </cell>
        </row>
        <row r="2752">
          <cell r="E2752" t="str">
            <v>HFMET181212A2888-110-131</v>
          </cell>
          <cell r="F2752" t="str">
            <v>Meta 56，H01</v>
          </cell>
          <cell r="G2752">
            <v>20</v>
          </cell>
          <cell r="H2752" t="str">
            <v>粪便</v>
          </cell>
          <cell r="I2752">
            <v>582</v>
          </cell>
          <cell r="J2752">
            <v>30.5</v>
          </cell>
          <cell r="K2752">
            <v>73.13</v>
          </cell>
          <cell r="L2752" t="str">
            <v>合格</v>
          </cell>
          <cell r="M2752" t="str">
            <v>孙家孟/王建敏/张思祺</v>
          </cell>
          <cell r="N2752" t="str">
            <v>20181213003-40</v>
          </cell>
          <cell r="Q2752">
            <v>582</v>
          </cell>
        </row>
        <row r="2753">
          <cell r="E2753" t="str">
            <v>HFMET181212A2889-101-140</v>
          </cell>
          <cell r="F2753" t="str">
            <v>Meta 56，H02</v>
          </cell>
          <cell r="G2753">
            <v>20</v>
          </cell>
          <cell r="H2753" t="str">
            <v>粪便</v>
          </cell>
          <cell r="I2753">
            <v>547</v>
          </cell>
          <cell r="J2753">
            <v>45.54</v>
          </cell>
          <cell r="K2753">
            <v>112.83</v>
          </cell>
          <cell r="L2753" t="str">
            <v>合格</v>
          </cell>
          <cell r="M2753" t="str">
            <v>孙家孟/王建敏/张思祺</v>
          </cell>
          <cell r="N2753" t="str">
            <v>20181213003-41</v>
          </cell>
          <cell r="Q2753">
            <v>547</v>
          </cell>
        </row>
        <row r="2754">
          <cell r="E2754" t="str">
            <v>HFMET181212A2890-95-132</v>
          </cell>
          <cell r="F2754" t="str">
            <v>Meta 56，H03</v>
          </cell>
          <cell r="G2754">
            <v>20</v>
          </cell>
          <cell r="H2754" t="str">
            <v>中药灌肠</v>
          </cell>
          <cell r="I2754">
            <v>565</v>
          </cell>
          <cell r="J2754">
            <v>26.53</v>
          </cell>
          <cell r="K2754">
            <v>64.900000000000006</v>
          </cell>
          <cell r="L2754" t="str">
            <v>合格</v>
          </cell>
          <cell r="M2754" t="str">
            <v>孙家孟/王建敏/张思祺</v>
          </cell>
          <cell r="N2754" t="str">
            <v>20181213003-42</v>
          </cell>
          <cell r="Q2754">
            <v>565</v>
          </cell>
        </row>
        <row r="2755">
          <cell r="E2755" t="str">
            <v>HFMET181212A2891-96-132</v>
          </cell>
          <cell r="F2755" t="str">
            <v>Meta 56，H04</v>
          </cell>
          <cell r="G2755">
            <v>20</v>
          </cell>
          <cell r="H2755" t="str">
            <v>中药灌肠</v>
          </cell>
          <cell r="I2755">
            <v>568</v>
          </cell>
          <cell r="J2755">
            <v>24.53</v>
          </cell>
          <cell r="K2755">
            <v>59.38</v>
          </cell>
          <cell r="L2755" t="str">
            <v>合格</v>
          </cell>
          <cell r="M2755" t="str">
            <v>孙家孟/王建敏/张思祺</v>
          </cell>
          <cell r="N2755" t="str">
            <v>20181213003-43</v>
          </cell>
          <cell r="Q2755">
            <v>568</v>
          </cell>
        </row>
        <row r="2756">
          <cell r="E2756" t="str">
            <v>HFMET181212A2892-97-132</v>
          </cell>
          <cell r="F2756" t="str">
            <v>Meta 56，H05</v>
          </cell>
          <cell r="G2756">
            <v>20</v>
          </cell>
          <cell r="H2756" t="str">
            <v>粪便</v>
          </cell>
          <cell r="I2756">
            <v>585</v>
          </cell>
          <cell r="J2756">
            <v>29.84</v>
          </cell>
          <cell r="K2756">
            <v>71</v>
          </cell>
          <cell r="L2756" t="str">
            <v>合格</v>
          </cell>
          <cell r="M2756" t="str">
            <v>孙家孟/王建敏/张思祺</v>
          </cell>
          <cell r="N2756" t="str">
            <v>20181213003-44</v>
          </cell>
          <cell r="Q2756">
            <v>585</v>
          </cell>
        </row>
        <row r="2757">
          <cell r="E2757" t="str">
            <v>HFMET181212A2893-98-132</v>
          </cell>
          <cell r="F2757" t="str">
            <v>Meta 56，H06</v>
          </cell>
          <cell r="G2757">
            <v>20</v>
          </cell>
          <cell r="H2757" t="str">
            <v>粪便</v>
          </cell>
          <cell r="I2757">
            <v>570</v>
          </cell>
          <cell r="J2757">
            <v>45.48</v>
          </cell>
          <cell r="K2757">
            <v>111.53</v>
          </cell>
          <cell r="L2757" t="str">
            <v>合格</v>
          </cell>
          <cell r="M2757" t="str">
            <v>孙家孟/王建敏/张思祺</v>
          </cell>
          <cell r="N2757" t="str">
            <v>20181213003-45</v>
          </cell>
          <cell r="Q2757">
            <v>570</v>
          </cell>
        </row>
        <row r="2758">
          <cell r="E2758" t="str">
            <v>HFMET181212A2894-99-132</v>
          </cell>
          <cell r="F2758" t="str">
            <v>Meta 56，H07</v>
          </cell>
          <cell r="G2758">
            <v>20</v>
          </cell>
          <cell r="H2758" t="str">
            <v>中药灌肠</v>
          </cell>
          <cell r="I2758">
            <v>587</v>
          </cell>
          <cell r="J2758">
            <v>20.149999999999999</v>
          </cell>
          <cell r="K2758">
            <v>49.39</v>
          </cell>
          <cell r="L2758" t="str">
            <v>合格</v>
          </cell>
          <cell r="M2758" t="str">
            <v>孙家孟/王建敏/张思祺</v>
          </cell>
          <cell r="N2758" t="str">
            <v>20181213003-46</v>
          </cell>
          <cell r="Q2758">
            <v>587</v>
          </cell>
        </row>
        <row r="2759">
          <cell r="E2759" t="str">
            <v>HFMET181212A2895-100-132</v>
          </cell>
          <cell r="F2759" t="str">
            <v>Meta 56，H08</v>
          </cell>
          <cell r="G2759">
            <v>20</v>
          </cell>
          <cell r="H2759" t="str">
            <v>粪便</v>
          </cell>
          <cell r="I2759">
            <v>556</v>
          </cell>
          <cell r="J2759">
            <v>44.58</v>
          </cell>
          <cell r="K2759">
            <v>112.27</v>
          </cell>
          <cell r="L2759" t="str">
            <v>合格</v>
          </cell>
          <cell r="M2759" t="str">
            <v>孙家孟/王建敏/张思祺</v>
          </cell>
          <cell r="N2759" t="str">
            <v>20181213003-47</v>
          </cell>
          <cell r="Q2759">
            <v>556</v>
          </cell>
        </row>
        <row r="2760">
          <cell r="E2760" t="str">
            <v>HFMET181212A2896-109-132</v>
          </cell>
          <cell r="F2760" t="str">
            <v>Meta 56，H09</v>
          </cell>
          <cell r="G2760">
            <v>20</v>
          </cell>
          <cell r="H2760" t="str">
            <v>中药灌肠</v>
          </cell>
          <cell r="I2760">
            <v>570</v>
          </cell>
          <cell r="J2760">
            <v>45.37</v>
          </cell>
          <cell r="K2760">
            <v>110.1</v>
          </cell>
          <cell r="L2760" t="str">
            <v>合格</v>
          </cell>
          <cell r="M2760" t="str">
            <v>孙家孟/王建敏/张思祺</v>
          </cell>
          <cell r="N2760" t="str">
            <v>20181213003-48</v>
          </cell>
          <cell r="Q2760">
            <v>570</v>
          </cell>
        </row>
        <row r="2761">
          <cell r="E2761" t="str">
            <v>HFMET181212A2897-110-132</v>
          </cell>
          <cell r="F2761" t="str">
            <v>Meta 56，H10</v>
          </cell>
          <cell r="G2761">
            <v>20</v>
          </cell>
          <cell r="H2761" t="str">
            <v>粪便</v>
          </cell>
          <cell r="I2761">
            <v>575</v>
          </cell>
          <cell r="J2761">
            <v>36.880000000000003</v>
          </cell>
          <cell r="K2761">
            <v>89.81</v>
          </cell>
          <cell r="L2761" t="str">
            <v>合格</v>
          </cell>
          <cell r="M2761" t="str">
            <v>孙家孟/王建敏/张思祺</v>
          </cell>
          <cell r="N2761" t="str">
            <v>20181213003-49</v>
          </cell>
          <cell r="Q2761">
            <v>575</v>
          </cell>
        </row>
        <row r="2762">
          <cell r="E2762" t="str">
            <v>HFMET181212A2898-95-133</v>
          </cell>
          <cell r="F2762" t="str">
            <v>Meta 56，H11</v>
          </cell>
          <cell r="G2762">
            <v>20</v>
          </cell>
          <cell r="H2762" t="str">
            <v>中药灌肠</v>
          </cell>
          <cell r="I2762">
            <v>568</v>
          </cell>
          <cell r="J2762">
            <v>45.22</v>
          </cell>
          <cell r="K2762">
            <v>110.64</v>
          </cell>
          <cell r="L2762" t="str">
            <v>合格</v>
          </cell>
          <cell r="M2762" t="str">
            <v>孙家孟/王建敏/张思祺</v>
          </cell>
          <cell r="N2762" t="str">
            <v>20181213003-50</v>
          </cell>
          <cell r="Q2762">
            <v>568</v>
          </cell>
        </row>
        <row r="2763">
          <cell r="E2763" t="str">
            <v>HFMET181212A2899-96-133</v>
          </cell>
          <cell r="F2763" t="str">
            <v>Meta 56，H12</v>
          </cell>
          <cell r="G2763">
            <v>20</v>
          </cell>
          <cell r="H2763" t="str">
            <v>粪便</v>
          </cell>
          <cell r="I2763">
            <v>546</v>
          </cell>
          <cell r="J2763">
            <v>51.78</v>
          </cell>
          <cell r="K2763">
            <v>127.61</v>
          </cell>
          <cell r="L2763" t="str">
            <v>合格</v>
          </cell>
          <cell r="M2763" t="str">
            <v>孙家孟/王建敏/张思祺</v>
          </cell>
          <cell r="N2763" t="str">
            <v>20181213003-51</v>
          </cell>
          <cell r="Q2763">
            <v>546</v>
          </cell>
        </row>
        <row r="2764">
          <cell r="E2764" t="str">
            <v>HFMET181212A2900-97-133</v>
          </cell>
          <cell r="F2764" t="str">
            <v>Meta 57，A01</v>
          </cell>
          <cell r="G2764">
            <v>20</v>
          </cell>
          <cell r="H2764" t="str">
            <v>中药灌肠</v>
          </cell>
          <cell r="I2764">
            <v>601</v>
          </cell>
          <cell r="J2764">
            <v>27.91</v>
          </cell>
          <cell r="K2764">
            <v>65.52</v>
          </cell>
          <cell r="L2764" t="str">
            <v>合格</v>
          </cell>
          <cell r="M2764" t="str">
            <v>孙家孟/王建敏/张思祺</v>
          </cell>
          <cell r="N2764" t="str">
            <v>20181213003-52</v>
          </cell>
          <cell r="Q2764">
            <v>601</v>
          </cell>
        </row>
        <row r="2765">
          <cell r="E2765" t="str">
            <v>HFMET181212A2901-98-133</v>
          </cell>
          <cell r="F2765" t="str">
            <v>Meta 57，A02</v>
          </cell>
          <cell r="G2765">
            <v>20</v>
          </cell>
          <cell r="H2765" t="str">
            <v>粪便</v>
          </cell>
          <cell r="I2765">
            <v>575</v>
          </cell>
          <cell r="J2765">
            <v>33.700000000000003</v>
          </cell>
          <cell r="K2765">
            <v>82.13</v>
          </cell>
          <cell r="L2765" t="str">
            <v>合格</v>
          </cell>
          <cell r="M2765" t="str">
            <v>孙家孟/王建敏/张思祺</v>
          </cell>
          <cell r="N2765" t="str">
            <v>20181213003-53</v>
          </cell>
          <cell r="Q2765">
            <v>575</v>
          </cell>
        </row>
        <row r="2766">
          <cell r="E2766" t="str">
            <v>HFMET181212A2902-99-133</v>
          </cell>
          <cell r="F2766" t="str">
            <v>Meta 57，A03</v>
          </cell>
          <cell r="G2766">
            <v>20</v>
          </cell>
          <cell r="H2766" t="str">
            <v>粪便</v>
          </cell>
          <cell r="I2766">
            <v>567</v>
          </cell>
          <cell r="J2766">
            <v>19.100000000000001</v>
          </cell>
          <cell r="K2766">
            <v>48.34</v>
          </cell>
          <cell r="L2766" t="str">
            <v>合格</v>
          </cell>
          <cell r="M2766" t="str">
            <v>孙家孟/王建敏/张思祺</v>
          </cell>
          <cell r="N2766" t="str">
            <v>20181213003-54</v>
          </cell>
          <cell r="Q2766">
            <v>567</v>
          </cell>
        </row>
        <row r="2767">
          <cell r="E2767" t="str">
            <v>HFMET181212A2903-100-133</v>
          </cell>
          <cell r="F2767" t="str">
            <v>Meta 57，A04</v>
          </cell>
          <cell r="G2767">
            <v>20</v>
          </cell>
          <cell r="H2767" t="str">
            <v>粪便</v>
          </cell>
          <cell r="I2767">
            <v>558</v>
          </cell>
          <cell r="J2767">
            <v>30.17</v>
          </cell>
          <cell r="K2767">
            <v>76.510000000000005</v>
          </cell>
          <cell r="L2767" t="str">
            <v>合格</v>
          </cell>
          <cell r="M2767" t="str">
            <v>孙家孟/王建敏/张思祺</v>
          </cell>
          <cell r="N2767" t="str">
            <v>20181213003-55</v>
          </cell>
          <cell r="Q2767">
            <v>558</v>
          </cell>
        </row>
        <row r="2768">
          <cell r="E2768" t="str">
            <v>HFMET181212A2904-109-133</v>
          </cell>
          <cell r="F2768" t="str">
            <v>Meta 57，A05</v>
          </cell>
          <cell r="G2768">
            <v>20</v>
          </cell>
          <cell r="H2768" t="str">
            <v>粪便</v>
          </cell>
          <cell r="I2768">
            <v>556</v>
          </cell>
          <cell r="J2768">
            <v>46.21</v>
          </cell>
          <cell r="K2768">
            <v>114.27</v>
          </cell>
          <cell r="L2768" t="str">
            <v>合格</v>
          </cell>
          <cell r="M2768" t="str">
            <v>孙家孟/王建敏/张思祺</v>
          </cell>
          <cell r="N2768" t="str">
            <v>20181213003-56</v>
          </cell>
          <cell r="Q2768">
            <v>556</v>
          </cell>
        </row>
        <row r="2769">
          <cell r="E2769" t="str">
            <v>HFMET181212A2905-110-133</v>
          </cell>
          <cell r="F2769" t="str">
            <v>Meta 57，A06</v>
          </cell>
          <cell r="G2769">
            <v>20</v>
          </cell>
          <cell r="H2769" t="str">
            <v>粪便</v>
          </cell>
          <cell r="I2769">
            <v>559</v>
          </cell>
          <cell r="J2769">
            <v>47.43</v>
          </cell>
          <cell r="K2769">
            <v>116.09</v>
          </cell>
          <cell r="L2769" t="str">
            <v>合格</v>
          </cell>
          <cell r="M2769" t="str">
            <v>孙家孟/王建敏/张思祺</v>
          </cell>
          <cell r="N2769" t="str">
            <v>20181213003-57</v>
          </cell>
          <cell r="Q2769">
            <v>559</v>
          </cell>
        </row>
        <row r="2770">
          <cell r="E2770" t="str">
            <v>HFMET181212A2906-95-134</v>
          </cell>
          <cell r="F2770" t="str">
            <v>Meta 57，A07</v>
          </cell>
          <cell r="G2770">
            <v>20</v>
          </cell>
          <cell r="H2770" t="str">
            <v>粪便</v>
          </cell>
          <cell r="I2770">
            <v>560</v>
          </cell>
          <cell r="J2770">
            <v>44.46</v>
          </cell>
          <cell r="K2770">
            <v>108.3</v>
          </cell>
          <cell r="L2770" t="str">
            <v>合格</v>
          </cell>
          <cell r="M2770" t="str">
            <v>孙家孟/王建敏/张思祺</v>
          </cell>
          <cell r="N2770" t="str">
            <v>20181213003-58</v>
          </cell>
          <cell r="Q2770">
            <v>560</v>
          </cell>
        </row>
        <row r="2771">
          <cell r="E2771" t="str">
            <v>HFMET181212A2907-96-134</v>
          </cell>
          <cell r="F2771" t="str">
            <v>Meta 57，A08</v>
          </cell>
          <cell r="G2771">
            <v>20</v>
          </cell>
          <cell r="H2771" t="str">
            <v>粪便</v>
          </cell>
          <cell r="I2771">
            <v>559</v>
          </cell>
          <cell r="J2771">
            <v>56.04</v>
          </cell>
          <cell r="K2771">
            <v>133.63</v>
          </cell>
          <cell r="L2771" t="str">
            <v>合格</v>
          </cell>
          <cell r="M2771" t="str">
            <v>孙家孟/王建敏/张思祺</v>
          </cell>
          <cell r="N2771" t="str">
            <v>20181213003-59</v>
          </cell>
          <cell r="Q2771">
            <v>559</v>
          </cell>
        </row>
        <row r="2772">
          <cell r="E2772" t="str">
            <v>HFMET181212A2908-97-134</v>
          </cell>
          <cell r="F2772" t="str">
            <v>Meta 57，A09</v>
          </cell>
          <cell r="G2772">
            <v>20</v>
          </cell>
          <cell r="H2772" t="str">
            <v>粪便</v>
          </cell>
          <cell r="I2772">
            <v>565</v>
          </cell>
          <cell r="J2772">
            <v>50.5</v>
          </cell>
          <cell r="K2772">
            <v>120.76</v>
          </cell>
          <cell r="L2772" t="str">
            <v>合格</v>
          </cell>
          <cell r="M2772" t="str">
            <v>孙家孟/王建敏/张思祺</v>
          </cell>
          <cell r="N2772" t="str">
            <v>20181213003-60</v>
          </cell>
          <cell r="Q2772">
            <v>565</v>
          </cell>
        </row>
        <row r="2773">
          <cell r="E2773" t="str">
            <v>HFMET181212A2909-98-134</v>
          </cell>
          <cell r="F2773" t="str">
            <v>Meta 57，A10</v>
          </cell>
          <cell r="G2773">
            <v>20</v>
          </cell>
          <cell r="H2773" t="str">
            <v>粪便</v>
          </cell>
          <cell r="I2773">
            <v>583</v>
          </cell>
          <cell r="J2773">
            <v>37.520000000000003</v>
          </cell>
          <cell r="K2773">
            <v>89.63</v>
          </cell>
          <cell r="L2773" t="str">
            <v>合格</v>
          </cell>
          <cell r="M2773" t="str">
            <v>孙家孟/王建敏/张思祺</v>
          </cell>
          <cell r="N2773" t="str">
            <v>20181213003-61</v>
          </cell>
          <cell r="Q2773">
            <v>583</v>
          </cell>
        </row>
        <row r="2774">
          <cell r="E2774" t="str">
            <v>HFMET181212A2910-99-134</v>
          </cell>
          <cell r="F2774" t="str">
            <v>Meta 57，A11</v>
          </cell>
          <cell r="G2774">
            <v>20</v>
          </cell>
          <cell r="H2774" t="str">
            <v>粪便</v>
          </cell>
          <cell r="I2774">
            <v>597</v>
          </cell>
          <cell r="J2774">
            <v>19.63</v>
          </cell>
          <cell r="K2774">
            <v>47.69</v>
          </cell>
          <cell r="L2774" t="str">
            <v>合格</v>
          </cell>
          <cell r="M2774" t="str">
            <v>孙家孟/王建敏/张思祺</v>
          </cell>
          <cell r="N2774" t="str">
            <v>20181213003-62</v>
          </cell>
          <cell r="Q2774">
            <v>597</v>
          </cell>
        </row>
        <row r="2775">
          <cell r="E2775" t="str">
            <v>HFMET181212A2911-100-134</v>
          </cell>
          <cell r="F2775" t="str">
            <v>Meta 57，A12</v>
          </cell>
          <cell r="G2775">
            <v>20</v>
          </cell>
          <cell r="H2775" t="str">
            <v>粪便</v>
          </cell>
          <cell r="I2775">
            <v>592</v>
          </cell>
          <cell r="J2775">
            <v>25.28</v>
          </cell>
          <cell r="K2775">
            <v>59.41</v>
          </cell>
          <cell r="L2775" t="str">
            <v>合格</v>
          </cell>
          <cell r="M2775" t="str">
            <v>孙家孟/王建敏/张思祺</v>
          </cell>
          <cell r="N2775" t="str">
            <v>20181213003-63</v>
          </cell>
          <cell r="Q2775">
            <v>592</v>
          </cell>
        </row>
        <row r="2776">
          <cell r="E2776" t="str">
            <v>HFMET181212A2912-109-134</v>
          </cell>
          <cell r="F2776" t="str">
            <v>Meta 57，B01</v>
          </cell>
          <cell r="G2776">
            <v>20</v>
          </cell>
          <cell r="H2776" t="str">
            <v>粪便</v>
          </cell>
          <cell r="I2776">
            <v>608</v>
          </cell>
          <cell r="J2776">
            <v>23.49</v>
          </cell>
          <cell r="K2776">
            <v>54.45</v>
          </cell>
          <cell r="L2776" t="str">
            <v>合格</v>
          </cell>
          <cell r="M2776" t="str">
            <v>孙家孟/王建敏/张思祺</v>
          </cell>
          <cell r="N2776" t="str">
            <v>20181213003-64</v>
          </cell>
          <cell r="Q2776">
            <v>608</v>
          </cell>
        </row>
        <row r="2777">
          <cell r="E2777" t="str">
            <v>HFMET181212A2913-110-134</v>
          </cell>
          <cell r="F2777" t="str">
            <v>Meta 57，B02</v>
          </cell>
          <cell r="G2777">
            <v>20</v>
          </cell>
          <cell r="H2777" t="str">
            <v>粪便</v>
          </cell>
          <cell r="I2777">
            <v>607</v>
          </cell>
          <cell r="J2777">
            <v>24.37</v>
          </cell>
          <cell r="K2777">
            <v>57.43</v>
          </cell>
          <cell r="L2777" t="str">
            <v>合格</v>
          </cell>
          <cell r="M2777" t="str">
            <v>孙家孟/王建敏/张思祺</v>
          </cell>
          <cell r="N2777" t="str">
            <v>20181213003-65</v>
          </cell>
          <cell r="Q2777">
            <v>607</v>
          </cell>
        </row>
        <row r="2778">
          <cell r="E2778" t="str">
            <v>HFMET181212A2914-95-135</v>
          </cell>
          <cell r="F2778" t="str">
            <v>Meta 57，B03</v>
          </cell>
          <cell r="G2778">
            <v>20</v>
          </cell>
          <cell r="H2778" t="str">
            <v>中药灌肠</v>
          </cell>
          <cell r="I2778">
            <v>574</v>
          </cell>
          <cell r="J2778">
            <v>37.119999999999997</v>
          </cell>
          <cell r="K2778">
            <v>90.1</v>
          </cell>
          <cell r="L2778" t="str">
            <v>合格</v>
          </cell>
          <cell r="M2778" t="str">
            <v>孙家孟/王建敏/张思祺</v>
          </cell>
          <cell r="N2778" t="str">
            <v>20181213003-66</v>
          </cell>
          <cell r="Q2778">
            <v>574</v>
          </cell>
        </row>
        <row r="2779">
          <cell r="E2779" t="str">
            <v>HFMET181212A2915-96-135</v>
          </cell>
          <cell r="F2779" t="str">
            <v>Meta 57，B04</v>
          </cell>
          <cell r="G2779">
            <v>20</v>
          </cell>
          <cell r="H2779" t="str">
            <v>粪便</v>
          </cell>
          <cell r="I2779">
            <v>567</v>
          </cell>
          <cell r="J2779">
            <v>35.840000000000003</v>
          </cell>
          <cell r="K2779">
            <v>87.73</v>
          </cell>
          <cell r="L2779" t="str">
            <v>合格</v>
          </cell>
          <cell r="M2779" t="str">
            <v>孙家孟/王建敏/张思祺</v>
          </cell>
          <cell r="N2779" t="str">
            <v>20181213003-67</v>
          </cell>
          <cell r="Q2779">
            <v>567</v>
          </cell>
        </row>
        <row r="2780">
          <cell r="E2780" t="str">
            <v>HFMET181212A2916-97-135</v>
          </cell>
          <cell r="F2780" t="str">
            <v>Meta 57，B05</v>
          </cell>
          <cell r="G2780">
            <v>20</v>
          </cell>
          <cell r="H2780" t="str">
            <v>粪便</v>
          </cell>
          <cell r="I2780">
            <v>551</v>
          </cell>
          <cell r="J2780">
            <v>30.5</v>
          </cell>
          <cell r="K2780">
            <v>76.150000000000006</v>
          </cell>
          <cell r="L2780" t="str">
            <v>合格</v>
          </cell>
          <cell r="M2780" t="str">
            <v>孙家孟/王建敏/张思祺</v>
          </cell>
          <cell r="N2780" t="str">
            <v>20181213003-68</v>
          </cell>
          <cell r="Q2780">
            <v>551</v>
          </cell>
        </row>
        <row r="2781">
          <cell r="E2781" t="str">
            <v>HFMET181212A2917-98-135</v>
          </cell>
          <cell r="F2781" t="str">
            <v>Meta 57，B06</v>
          </cell>
          <cell r="G2781">
            <v>20</v>
          </cell>
          <cell r="H2781" t="str">
            <v>粪便</v>
          </cell>
          <cell r="I2781">
            <v>548</v>
          </cell>
          <cell r="J2781">
            <v>49.52</v>
          </cell>
          <cell r="K2781">
            <v>121.56</v>
          </cell>
          <cell r="L2781" t="str">
            <v>合格</v>
          </cell>
          <cell r="M2781" t="str">
            <v>孙家孟/王建敏/张思祺</v>
          </cell>
          <cell r="N2781" t="str">
            <v>20181213003-69</v>
          </cell>
          <cell r="Q2781">
            <v>548</v>
          </cell>
        </row>
        <row r="2782">
          <cell r="E2782" t="str">
            <v>HFMET181212A2918-99-135</v>
          </cell>
          <cell r="F2782" t="str">
            <v>Meta 57，B07</v>
          </cell>
          <cell r="G2782">
            <v>20</v>
          </cell>
          <cell r="H2782" t="str">
            <v>粪便</v>
          </cell>
          <cell r="I2782">
            <v>589</v>
          </cell>
          <cell r="J2782">
            <v>18.16</v>
          </cell>
          <cell r="K2782">
            <v>44.3</v>
          </cell>
          <cell r="L2782" t="str">
            <v>合格</v>
          </cell>
          <cell r="M2782" t="str">
            <v>孙家孟/王建敏/张思祺</v>
          </cell>
          <cell r="N2782" t="str">
            <v>20181213003-70</v>
          </cell>
          <cell r="Q2782">
            <v>589</v>
          </cell>
        </row>
        <row r="2783">
          <cell r="E2783" t="str">
            <v>HFMET181212A2919-100-135</v>
          </cell>
          <cell r="F2783" t="str">
            <v>Meta 57，B08</v>
          </cell>
          <cell r="G2783">
            <v>20</v>
          </cell>
          <cell r="H2783" t="str">
            <v>粪便</v>
          </cell>
          <cell r="I2783">
            <v>573</v>
          </cell>
          <cell r="J2783">
            <v>19.809999999999999</v>
          </cell>
          <cell r="K2783">
            <v>48.65</v>
          </cell>
          <cell r="L2783" t="str">
            <v>合格</v>
          </cell>
          <cell r="M2783" t="str">
            <v>孙家孟/王建敏/张思祺</v>
          </cell>
          <cell r="N2783" t="str">
            <v>20181213003-71</v>
          </cell>
          <cell r="Q2783">
            <v>573</v>
          </cell>
        </row>
        <row r="2784">
          <cell r="E2784" t="str">
            <v>HFMET181212A2920-109-135</v>
          </cell>
          <cell r="F2784" t="str">
            <v>Meta 57，B09</v>
          </cell>
          <cell r="G2784">
            <v>20</v>
          </cell>
          <cell r="H2784" t="str">
            <v>粪便</v>
          </cell>
          <cell r="I2784">
            <v>576</v>
          </cell>
          <cell r="J2784">
            <v>43.8</v>
          </cell>
          <cell r="K2784">
            <v>104.72</v>
          </cell>
          <cell r="L2784" t="str">
            <v>合格</v>
          </cell>
          <cell r="M2784" t="str">
            <v>孙家孟/王建敏/张思祺</v>
          </cell>
          <cell r="N2784" t="str">
            <v>20181213003-72</v>
          </cell>
          <cell r="Q2784">
            <v>576</v>
          </cell>
        </row>
        <row r="2785">
          <cell r="E2785" t="str">
            <v>HFMET181212A2921-110-135</v>
          </cell>
          <cell r="F2785" t="str">
            <v>Meta 57，B10</v>
          </cell>
          <cell r="G2785">
            <v>20</v>
          </cell>
          <cell r="H2785" t="str">
            <v>粪便</v>
          </cell>
          <cell r="I2785">
            <v>568</v>
          </cell>
          <cell r="J2785">
            <v>29.33</v>
          </cell>
          <cell r="K2785">
            <v>72.41</v>
          </cell>
          <cell r="L2785" t="str">
            <v>合格</v>
          </cell>
          <cell r="M2785" t="str">
            <v>孙家孟/王建敏/张思祺</v>
          </cell>
          <cell r="N2785" t="str">
            <v>20181213003-73</v>
          </cell>
          <cell r="Q2785">
            <v>568</v>
          </cell>
        </row>
        <row r="2786">
          <cell r="E2786" t="str">
            <v>HFMET181212A2922-95-136</v>
          </cell>
          <cell r="F2786" t="str">
            <v>Meta 57，B11</v>
          </cell>
          <cell r="G2786">
            <v>20</v>
          </cell>
          <cell r="H2786" t="str">
            <v>粪便</v>
          </cell>
          <cell r="I2786">
            <v>571</v>
          </cell>
          <cell r="J2786">
            <v>32.049999999999997</v>
          </cell>
          <cell r="K2786">
            <v>77.180000000000007</v>
          </cell>
          <cell r="L2786" t="str">
            <v>合格</v>
          </cell>
          <cell r="M2786" t="str">
            <v>孙家孟/王建敏/张思祺</v>
          </cell>
          <cell r="N2786" t="str">
            <v>20181213003-74</v>
          </cell>
          <cell r="Q2786">
            <v>571</v>
          </cell>
        </row>
        <row r="2787">
          <cell r="E2787" t="str">
            <v>HFMET181212A2923-96-136</v>
          </cell>
          <cell r="F2787" t="str">
            <v>Meta 57，B12</v>
          </cell>
          <cell r="G2787">
            <v>20</v>
          </cell>
          <cell r="H2787" t="str">
            <v>粪便</v>
          </cell>
          <cell r="I2787">
            <v>549</v>
          </cell>
          <cell r="J2787">
            <v>49.75</v>
          </cell>
          <cell r="K2787">
            <v>122.09</v>
          </cell>
          <cell r="L2787" t="str">
            <v>合格</v>
          </cell>
          <cell r="M2787" t="str">
            <v>孙家孟/王建敏/张思祺</v>
          </cell>
          <cell r="N2787" t="str">
            <v>20181213003-75</v>
          </cell>
          <cell r="Q2787">
            <v>549</v>
          </cell>
        </row>
        <row r="2788">
          <cell r="E2788" t="str">
            <v>HFMET181212A2924-97-136</v>
          </cell>
          <cell r="F2788" t="str">
            <v>Meta 57，C01</v>
          </cell>
          <cell r="G2788">
            <v>20</v>
          </cell>
          <cell r="H2788" t="str">
            <v>粪便</v>
          </cell>
          <cell r="I2788">
            <v>566</v>
          </cell>
          <cell r="J2788">
            <v>30.11</v>
          </cell>
          <cell r="K2788">
            <v>74.05</v>
          </cell>
          <cell r="L2788" t="str">
            <v>合格</v>
          </cell>
          <cell r="M2788" t="str">
            <v>孙家孟/王建敏/张思祺</v>
          </cell>
          <cell r="N2788" t="str">
            <v>20181213003-76</v>
          </cell>
          <cell r="Q2788">
            <v>566</v>
          </cell>
        </row>
        <row r="2789">
          <cell r="E2789" t="str">
            <v>HFMET181212A2925-98-136</v>
          </cell>
          <cell r="F2789" t="str">
            <v>Meta 57，C02</v>
          </cell>
          <cell r="G2789">
            <v>20</v>
          </cell>
          <cell r="H2789" t="str">
            <v>粪便</v>
          </cell>
          <cell r="I2789">
            <v>598</v>
          </cell>
          <cell r="J2789">
            <v>31.6</v>
          </cell>
          <cell r="K2789">
            <v>72.760000000000005</v>
          </cell>
          <cell r="L2789" t="str">
            <v>合格</v>
          </cell>
          <cell r="M2789" t="str">
            <v>孙家孟/王建敏/张思祺</v>
          </cell>
          <cell r="N2789" t="str">
            <v>20181213003-77</v>
          </cell>
          <cell r="Q2789">
            <v>598</v>
          </cell>
        </row>
        <row r="2790">
          <cell r="E2790" t="str">
            <v>HFMET181212A2926-99-136</v>
          </cell>
          <cell r="F2790" t="str">
            <v>Meta 57，C03</v>
          </cell>
          <cell r="G2790">
            <v>20</v>
          </cell>
          <cell r="H2790" t="str">
            <v>粪便</v>
          </cell>
          <cell r="I2790">
            <v>597</v>
          </cell>
          <cell r="J2790">
            <v>17.84</v>
          </cell>
          <cell r="K2790">
            <v>42.13</v>
          </cell>
          <cell r="L2790" t="str">
            <v>合格</v>
          </cell>
          <cell r="M2790" t="str">
            <v>孙家孟/王建敏/张思祺</v>
          </cell>
          <cell r="N2790" t="str">
            <v>20181213003-78</v>
          </cell>
          <cell r="Q2790">
            <v>597</v>
          </cell>
        </row>
        <row r="2791">
          <cell r="E2791" t="str">
            <v>HFMET181212A2927-100-136</v>
          </cell>
          <cell r="F2791" t="str">
            <v>Meta 57，C04</v>
          </cell>
          <cell r="G2791">
            <v>20</v>
          </cell>
          <cell r="H2791" t="str">
            <v>粪便</v>
          </cell>
          <cell r="I2791">
            <v>592</v>
          </cell>
          <cell r="J2791">
            <v>36.79</v>
          </cell>
          <cell r="K2791">
            <v>85.96</v>
          </cell>
          <cell r="L2791" t="str">
            <v>合格</v>
          </cell>
          <cell r="M2791" t="str">
            <v>孙家孟/王建敏/张思祺</v>
          </cell>
          <cell r="N2791" t="str">
            <v>20181213003-79</v>
          </cell>
          <cell r="Q2791">
            <v>592</v>
          </cell>
        </row>
        <row r="2792">
          <cell r="E2792" t="str">
            <v>HFMET181212A2928-109-136</v>
          </cell>
          <cell r="F2792" t="str">
            <v>Meta 57，C05</v>
          </cell>
          <cell r="G2792">
            <v>20</v>
          </cell>
          <cell r="H2792" t="str">
            <v>粪便</v>
          </cell>
          <cell r="I2792">
            <v>561</v>
          </cell>
          <cell r="J2792">
            <v>44.56</v>
          </cell>
          <cell r="K2792">
            <v>109.88</v>
          </cell>
          <cell r="L2792" t="str">
            <v>合格</v>
          </cell>
          <cell r="M2792" t="str">
            <v>孙家孟/王建敏/张思祺</v>
          </cell>
          <cell r="N2792" t="str">
            <v>20181213003-80</v>
          </cell>
          <cell r="Q2792">
            <v>561</v>
          </cell>
        </row>
        <row r="2793">
          <cell r="E2793" t="str">
            <v>HFMET181212A2929-110-136</v>
          </cell>
          <cell r="F2793" t="str">
            <v>Meta 57，C06</v>
          </cell>
          <cell r="G2793">
            <v>20</v>
          </cell>
          <cell r="H2793" t="str">
            <v>粪便</v>
          </cell>
          <cell r="I2793">
            <v>603</v>
          </cell>
          <cell r="J2793">
            <v>37.26</v>
          </cell>
          <cell r="K2793">
            <v>87.07</v>
          </cell>
          <cell r="L2793" t="str">
            <v>合格</v>
          </cell>
          <cell r="M2793" t="str">
            <v>孙家孟/王建敏/张思祺</v>
          </cell>
          <cell r="N2793" t="str">
            <v>20181213003-81</v>
          </cell>
          <cell r="Q2793">
            <v>603</v>
          </cell>
        </row>
        <row r="2794">
          <cell r="E2794" t="str">
            <v>HFMET181212A2930-102-140</v>
          </cell>
          <cell r="F2794" t="str">
            <v>Meta 57，C07</v>
          </cell>
          <cell r="G2794">
            <v>20</v>
          </cell>
          <cell r="H2794" t="str">
            <v>粪便</v>
          </cell>
          <cell r="I2794">
            <v>558</v>
          </cell>
          <cell r="J2794">
            <v>44.57</v>
          </cell>
          <cell r="K2794">
            <v>109.17</v>
          </cell>
          <cell r="L2794" t="str">
            <v>合格</v>
          </cell>
          <cell r="M2794" t="str">
            <v>孙家孟/王建敏/张思祺</v>
          </cell>
          <cell r="N2794" t="str">
            <v>20181213003-82</v>
          </cell>
          <cell r="Q2794">
            <v>558</v>
          </cell>
        </row>
        <row r="2795">
          <cell r="E2795" t="str">
            <v>NTC-1-102-140</v>
          </cell>
          <cell r="F2795" t="str">
            <v>Meta 57，C08</v>
          </cell>
          <cell r="G2795">
            <v>20</v>
          </cell>
          <cell r="I2795">
            <v>585</v>
          </cell>
          <cell r="J2795">
            <v>10.57</v>
          </cell>
          <cell r="K2795">
            <v>26.04</v>
          </cell>
          <cell r="L2795" t="str">
            <v>不合格</v>
          </cell>
          <cell r="M2795" t="str">
            <v>孙家孟/王建敏/张思祺</v>
          </cell>
          <cell r="N2795" t="str">
            <v>20181213003-83</v>
          </cell>
          <cell r="Q2795">
            <v>585</v>
          </cell>
        </row>
        <row r="2796">
          <cell r="E2796" t="str">
            <v>NTC-2-102-140</v>
          </cell>
          <cell r="F2796" t="str">
            <v>Meta 57，C09</v>
          </cell>
          <cell r="G2796">
            <v>20</v>
          </cell>
          <cell r="I2796">
            <v>586</v>
          </cell>
          <cell r="J2796">
            <v>12.3</v>
          </cell>
          <cell r="K2796">
            <v>30.22</v>
          </cell>
          <cell r="L2796" t="str">
            <v>不合格</v>
          </cell>
          <cell r="M2796" t="str">
            <v>孙家孟/王建敏/张思祺</v>
          </cell>
          <cell r="N2796" t="str">
            <v>20181213003-84</v>
          </cell>
          <cell r="Q2796">
            <v>586</v>
          </cell>
        </row>
        <row r="2798">
          <cell r="E2798" t="str">
            <v>HFMET181212A2931-95-137</v>
          </cell>
          <cell r="F2798" t="str">
            <v>Meta 57，C10</v>
          </cell>
          <cell r="G2798">
            <v>20</v>
          </cell>
          <cell r="H2798" t="str">
            <v>堆肥样品</v>
          </cell>
          <cell r="I2798">
            <v>574</v>
          </cell>
          <cell r="J2798">
            <v>28.84</v>
          </cell>
          <cell r="K2798">
            <v>70.27</v>
          </cell>
          <cell r="L2798" t="str">
            <v>合格</v>
          </cell>
          <cell r="M2798" t="str">
            <v>孙家孟/王建敏/张思祺</v>
          </cell>
          <cell r="N2798" t="str">
            <v>20181213-1-A01</v>
          </cell>
          <cell r="Q2798">
            <v>574</v>
          </cell>
        </row>
        <row r="2799">
          <cell r="E2799" t="str">
            <v>HFMET181212A2932-96-137</v>
          </cell>
          <cell r="F2799" t="str">
            <v>Meta 57，C11</v>
          </cell>
          <cell r="G2799">
            <v>20</v>
          </cell>
          <cell r="H2799" t="str">
            <v>堆肥样品</v>
          </cell>
          <cell r="I2799">
            <v>601</v>
          </cell>
          <cell r="J2799">
            <v>29.98</v>
          </cell>
          <cell r="K2799">
            <v>71.010000000000005</v>
          </cell>
          <cell r="L2799" t="str">
            <v>合格</v>
          </cell>
          <cell r="M2799" t="str">
            <v>孙家孟/王建敏/张思祺</v>
          </cell>
          <cell r="N2799" t="str">
            <v>20181213-1-A02</v>
          </cell>
          <cell r="Q2799">
            <v>601</v>
          </cell>
        </row>
        <row r="2800">
          <cell r="E2800" t="str">
            <v>HFMET181212A2933-97-137</v>
          </cell>
          <cell r="F2800" t="str">
            <v>Meta 57，C12</v>
          </cell>
          <cell r="G2800">
            <v>20</v>
          </cell>
          <cell r="H2800" t="str">
            <v>堆肥样品</v>
          </cell>
          <cell r="I2800">
            <v>555</v>
          </cell>
          <cell r="J2800">
            <v>33.53</v>
          </cell>
          <cell r="K2800">
            <v>83</v>
          </cell>
          <cell r="L2800" t="str">
            <v>合格</v>
          </cell>
          <cell r="M2800" t="str">
            <v>孙家孟/王建敏/张思祺</v>
          </cell>
          <cell r="N2800" t="str">
            <v>20181213-1-A03</v>
          </cell>
          <cell r="Q2800">
            <v>555</v>
          </cell>
        </row>
        <row r="2801">
          <cell r="E2801" t="str">
            <v>HFMET181212A2934-98-137</v>
          </cell>
          <cell r="F2801" t="str">
            <v>Meta 57，D01</v>
          </cell>
          <cell r="G2801">
            <v>20</v>
          </cell>
          <cell r="H2801" t="str">
            <v>堆肥样品</v>
          </cell>
          <cell r="I2801">
            <v>555</v>
          </cell>
          <cell r="J2801">
            <v>28.58</v>
          </cell>
          <cell r="K2801">
            <v>71.25</v>
          </cell>
          <cell r="L2801" t="str">
            <v>合格</v>
          </cell>
          <cell r="M2801" t="str">
            <v>孙家孟/王建敏/张思祺</v>
          </cell>
          <cell r="N2801" t="str">
            <v>20181213-1-A04</v>
          </cell>
          <cell r="Q2801">
            <v>555</v>
          </cell>
        </row>
        <row r="2802">
          <cell r="E2802" t="str">
            <v>HFMET181212A2935-99-137</v>
          </cell>
          <cell r="F2802" t="str">
            <v>Meta 57，D02</v>
          </cell>
          <cell r="G2802">
            <v>20</v>
          </cell>
          <cell r="H2802" t="str">
            <v>堆肥样品</v>
          </cell>
          <cell r="I2802">
            <v>572</v>
          </cell>
          <cell r="J2802">
            <v>21.36</v>
          </cell>
          <cell r="K2802">
            <v>52.49</v>
          </cell>
          <cell r="L2802" t="str">
            <v>合格</v>
          </cell>
          <cell r="M2802" t="str">
            <v>孙家孟/王建敏/张思祺</v>
          </cell>
          <cell r="N2802" t="str">
            <v>20181213-1-A05</v>
          </cell>
          <cell r="Q2802">
            <v>572</v>
          </cell>
        </row>
        <row r="2803">
          <cell r="E2803" t="str">
            <v>HFMET181212A2936-100-137</v>
          </cell>
          <cell r="F2803" t="str">
            <v>Meta 57，D03</v>
          </cell>
          <cell r="G2803">
            <v>20</v>
          </cell>
          <cell r="H2803" t="str">
            <v>堆肥样品</v>
          </cell>
          <cell r="I2803">
            <v>564</v>
          </cell>
          <cell r="J2803">
            <v>33.19</v>
          </cell>
          <cell r="K2803">
            <v>81.37</v>
          </cell>
          <cell r="L2803" t="str">
            <v>合格</v>
          </cell>
          <cell r="M2803" t="str">
            <v>孙家孟/王建敏/张思祺</v>
          </cell>
          <cell r="N2803" t="str">
            <v>20181213-1-A06</v>
          </cell>
          <cell r="Q2803">
            <v>564</v>
          </cell>
        </row>
        <row r="2804">
          <cell r="E2804" t="str">
            <v>HFMET181212A2937-109-137</v>
          </cell>
          <cell r="F2804" t="str">
            <v>Meta 57，D04</v>
          </cell>
          <cell r="G2804">
            <v>20</v>
          </cell>
          <cell r="H2804" t="str">
            <v>堆肥样品</v>
          </cell>
          <cell r="I2804">
            <v>617</v>
          </cell>
          <cell r="J2804">
            <v>23.17</v>
          </cell>
          <cell r="K2804">
            <v>53.76</v>
          </cell>
          <cell r="L2804" t="str">
            <v>合格</v>
          </cell>
          <cell r="M2804" t="str">
            <v>孙家孟/王建敏/张思祺</v>
          </cell>
          <cell r="N2804" t="str">
            <v>20181213-1-A07</v>
          </cell>
          <cell r="Q2804">
            <v>617</v>
          </cell>
        </row>
        <row r="2805">
          <cell r="E2805" t="str">
            <v>HFMET181212A2938-110-137</v>
          </cell>
          <cell r="F2805" t="str">
            <v>Meta 57，D05</v>
          </cell>
          <cell r="G2805">
            <v>20</v>
          </cell>
          <cell r="H2805" t="str">
            <v>堆肥样品</v>
          </cell>
          <cell r="I2805">
            <v>578</v>
          </cell>
          <cell r="J2805">
            <v>16.14</v>
          </cell>
          <cell r="K2805">
            <v>40.49</v>
          </cell>
          <cell r="L2805" t="str">
            <v>合格</v>
          </cell>
          <cell r="M2805" t="str">
            <v>孙家孟/王建敏/张思祺</v>
          </cell>
          <cell r="N2805" t="str">
            <v>20181213-1-A08</v>
          </cell>
          <cell r="Q2805">
            <v>578</v>
          </cell>
        </row>
        <row r="2806">
          <cell r="E2806" t="str">
            <v>HFMET181212A2939-95-138</v>
          </cell>
          <cell r="F2806" t="str">
            <v>Meta 57，D06</v>
          </cell>
          <cell r="G2806">
            <v>20</v>
          </cell>
          <cell r="H2806" t="str">
            <v>堆肥样品</v>
          </cell>
          <cell r="I2806">
            <v>594</v>
          </cell>
          <cell r="J2806">
            <v>27.75</v>
          </cell>
          <cell r="K2806">
            <v>66.08</v>
          </cell>
          <cell r="L2806" t="str">
            <v>合格</v>
          </cell>
          <cell r="M2806" t="str">
            <v>孙家孟/王建敏/张思祺</v>
          </cell>
          <cell r="N2806" t="str">
            <v>20181213-1-A09</v>
          </cell>
          <cell r="Q2806">
            <v>594</v>
          </cell>
        </row>
        <row r="2807">
          <cell r="E2807" t="str">
            <v>HFMET181212A2940-96-138</v>
          </cell>
          <cell r="F2807" t="str">
            <v>Meta 57，D07</v>
          </cell>
          <cell r="G2807">
            <v>20</v>
          </cell>
          <cell r="H2807" t="str">
            <v>堆肥样品</v>
          </cell>
          <cell r="I2807">
            <v>592</v>
          </cell>
          <cell r="J2807">
            <v>25.99</v>
          </cell>
          <cell r="K2807">
            <v>61.68</v>
          </cell>
          <cell r="L2807" t="str">
            <v>合格</v>
          </cell>
          <cell r="M2807" t="str">
            <v>孙家孟/王建敏/张思祺</v>
          </cell>
          <cell r="N2807" t="str">
            <v>20181213-1-A10</v>
          </cell>
          <cell r="Q2807">
            <v>592</v>
          </cell>
        </row>
        <row r="2808">
          <cell r="E2808" t="str">
            <v>HFMET181212A2941-97-138</v>
          </cell>
          <cell r="F2808" t="str">
            <v>Meta 57，D08</v>
          </cell>
          <cell r="G2808">
            <v>20</v>
          </cell>
          <cell r="H2808" t="str">
            <v>堆肥样品</v>
          </cell>
          <cell r="I2808">
            <v>643</v>
          </cell>
          <cell r="J2808">
            <v>4.68</v>
          </cell>
          <cell r="K2808">
            <v>10.65</v>
          </cell>
          <cell r="L2808" t="str">
            <v>合格</v>
          </cell>
          <cell r="M2808" t="str">
            <v>孙家孟/王建敏/张思祺</v>
          </cell>
          <cell r="N2808" t="str">
            <v>20181213-1-A11</v>
          </cell>
          <cell r="Q2808">
            <v>643</v>
          </cell>
        </row>
        <row r="2809">
          <cell r="E2809" t="str">
            <v>HFMET181212A2942-98-138</v>
          </cell>
          <cell r="F2809" t="str">
            <v>Meta 57，D09</v>
          </cell>
          <cell r="G2809">
            <v>20</v>
          </cell>
          <cell r="H2809" t="str">
            <v>堆肥样品</v>
          </cell>
          <cell r="I2809">
            <v>620</v>
          </cell>
          <cell r="J2809">
            <v>21.63</v>
          </cell>
          <cell r="K2809">
            <v>49.87</v>
          </cell>
          <cell r="L2809" t="str">
            <v>合格</v>
          </cell>
          <cell r="M2809" t="str">
            <v>孙家孟/王建敏/张思祺</v>
          </cell>
          <cell r="N2809" t="str">
            <v>20181213-1-A12</v>
          </cell>
          <cell r="Q2809">
            <v>620</v>
          </cell>
        </row>
        <row r="2810">
          <cell r="E2810" t="str">
            <v>HFMET181212A2943-99-138</v>
          </cell>
          <cell r="F2810" t="str">
            <v>Meta 57，D10</v>
          </cell>
          <cell r="G2810">
            <v>20</v>
          </cell>
          <cell r="H2810" t="str">
            <v>堆肥样品</v>
          </cell>
          <cell r="I2810">
            <v>634</v>
          </cell>
          <cell r="J2810">
            <v>11.32</v>
          </cell>
          <cell r="K2810">
            <v>26.33</v>
          </cell>
          <cell r="L2810" t="str">
            <v>合格</v>
          </cell>
          <cell r="M2810" t="str">
            <v>孙家孟/王建敏/张思祺</v>
          </cell>
          <cell r="N2810" t="str">
            <v>20181213-1-B01</v>
          </cell>
          <cell r="Q2810">
            <v>634</v>
          </cell>
        </row>
        <row r="2811">
          <cell r="E2811" t="str">
            <v>HFMET181212A2944-100-138</v>
          </cell>
          <cell r="F2811" t="str">
            <v>Meta 57，D11</v>
          </cell>
          <cell r="G2811">
            <v>20</v>
          </cell>
          <cell r="H2811" t="str">
            <v>堆肥样品</v>
          </cell>
          <cell r="I2811">
            <v>605</v>
          </cell>
          <cell r="J2811">
            <v>16.600000000000001</v>
          </cell>
          <cell r="K2811">
            <v>39.18</v>
          </cell>
          <cell r="L2811" t="str">
            <v>合格</v>
          </cell>
          <cell r="M2811" t="str">
            <v>孙家孟/王建敏/张思祺</v>
          </cell>
          <cell r="N2811" t="str">
            <v>20181213-1-B02</v>
          </cell>
          <cell r="Q2811">
            <v>605</v>
          </cell>
        </row>
        <row r="2812">
          <cell r="E2812" t="str">
            <v>HFMET181212A2945-109-138</v>
          </cell>
          <cell r="F2812" t="str">
            <v>Meta 57，D12</v>
          </cell>
          <cell r="G2812">
            <v>20</v>
          </cell>
          <cell r="H2812" t="str">
            <v>堆肥样品</v>
          </cell>
          <cell r="I2812">
            <v>623</v>
          </cell>
          <cell r="J2812">
            <v>13.23</v>
          </cell>
          <cell r="K2812">
            <v>30.83</v>
          </cell>
          <cell r="L2812" t="str">
            <v>合格</v>
          </cell>
          <cell r="M2812" t="str">
            <v>孙家孟/王建敏/张思祺</v>
          </cell>
          <cell r="N2812" t="str">
            <v>20181213-1-B03</v>
          </cell>
          <cell r="Q2812">
            <v>623</v>
          </cell>
        </row>
        <row r="2813">
          <cell r="E2813" t="str">
            <v>HFMET181212A2946-110-138</v>
          </cell>
          <cell r="F2813" t="str">
            <v>Meta 57，E01</v>
          </cell>
          <cell r="G2813">
            <v>20</v>
          </cell>
          <cell r="H2813" t="str">
            <v>堆肥样品</v>
          </cell>
          <cell r="I2813">
            <v>630</v>
          </cell>
          <cell r="J2813">
            <v>10.67</v>
          </cell>
          <cell r="K2813">
            <v>24.67</v>
          </cell>
          <cell r="L2813" t="str">
            <v>合格</v>
          </cell>
          <cell r="M2813" t="str">
            <v>孙家孟/王建敏/张思祺</v>
          </cell>
          <cell r="N2813" t="str">
            <v>20181213-1-B04</v>
          </cell>
          <cell r="Q2813">
            <v>630</v>
          </cell>
        </row>
        <row r="2814">
          <cell r="E2814" t="str">
            <v>HFMET181212A2947-95-139</v>
          </cell>
          <cell r="F2814" t="str">
            <v>Meta 57，E02</v>
          </cell>
          <cell r="G2814">
            <v>20</v>
          </cell>
          <cell r="H2814" t="str">
            <v>堆肥样品</v>
          </cell>
          <cell r="I2814">
            <v>610</v>
          </cell>
          <cell r="J2814">
            <v>16.86</v>
          </cell>
          <cell r="K2814">
            <v>39.020000000000003</v>
          </cell>
          <cell r="L2814" t="str">
            <v>合格</v>
          </cell>
          <cell r="M2814" t="str">
            <v>孙家孟/王建敏/张思祺</v>
          </cell>
          <cell r="N2814" t="str">
            <v>20181213-1-B05</v>
          </cell>
          <cell r="Q2814">
            <v>610</v>
          </cell>
        </row>
        <row r="2815">
          <cell r="E2815" t="str">
            <v>HFMET181212A2948-96-139</v>
          </cell>
          <cell r="F2815" t="str">
            <v>Meta 57，E03</v>
          </cell>
          <cell r="G2815">
            <v>20</v>
          </cell>
          <cell r="H2815" t="str">
            <v>堆肥样品</v>
          </cell>
          <cell r="I2815">
            <v>611</v>
          </cell>
          <cell r="J2815">
            <v>20.02</v>
          </cell>
          <cell r="K2815">
            <v>46.76</v>
          </cell>
          <cell r="L2815" t="str">
            <v>合格</v>
          </cell>
          <cell r="M2815" t="str">
            <v>孙家孟/王建敏/张思祺</v>
          </cell>
          <cell r="N2815" t="str">
            <v>20181213-1-B06</v>
          </cell>
          <cell r="Q2815">
            <v>611</v>
          </cell>
        </row>
        <row r="2816">
          <cell r="E2816" t="str">
            <v>HFMET181212A2949-97-139</v>
          </cell>
          <cell r="F2816" t="str">
            <v>Meta 57，E04</v>
          </cell>
          <cell r="G2816">
            <v>20</v>
          </cell>
          <cell r="H2816" t="str">
            <v>堆肥样品</v>
          </cell>
          <cell r="I2816">
            <v>626</v>
          </cell>
          <cell r="J2816">
            <v>14.74</v>
          </cell>
          <cell r="K2816">
            <v>34.04</v>
          </cell>
          <cell r="L2816" t="str">
            <v>合格</v>
          </cell>
          <cell r="M2816" t="str">
            <v>孙家孟/王建敏/张思祺</v>
          </cell>
          <cell r="N2816" t="str">
            <v>20181213-1-B07</v>
          </cell>
          <cell r="Q2816">
            <v>626</v>
          </cell>
        </row>
        <row r="2817">
          <cell r="E2817" t="str">
            <v>HFMET181212A2950-98-139</v>
          </cell>
          <cell r="F2817" t="str">
            <v>Meta 57，E05</v>
          </cell>
          <cell r="G2817">
            <v>20</v>
          </cell>
          <cell r="H2817" t="str">
            <v>堆肥样品</v>
          </cell>
          <cell r="I2817">
            <v>628</v>
          </cell>
          <cell r="J2817">
            <v>14.28</v>
          </cell>
          <cell r="K2817">
            <v>32.840000000000003</v>
          </cell>
          <cell r="L2817" t="str">
            <v>合格</v>
          </cell>
          <cell r="M2817" t="str">
            <v>孙家孟/王建敏/张思祺</v>
          </cell>
          <cell r="N2817" t="str">
            <v>20181213-1-B08</v>
          </cell>
          <cell r="Q2817">
            <v>628</v>
          </cell>
        </row>
        <row r="2818">
          <cell r="E2818" t="str">
            <v>HFMET181212A2951-99-139</v>
          </cell>
          <cell r="F2818" t="str">
            <v>Meta 57，E06</v>
          </cell>
          <cell r="G2818">
            <v>20</v>
          </cell>
          <cell r="H2818" t="str">
            <v>堆肥样品</v>
          </cell>
          <cell r="I2818">
            <v>612</v>
          </cell>
          <cell r="J2818">
            <v>13.41</v>
          </cell>
          <cell r="K2818">
            <v>32.299999999999997</v>
          </cell>
          <cell r="L2818" t="str">
            <v>合格</v>
          </cell>
          <cell r="M2818" t="str">
            <v>孙家孟/王建敏/张思祺</v>
          </cell>
          <cell r="N2818" t="str">
            <v>20181213-1-B09</v>
          </cell>
          <cell r="Q2818">
            <v>612</v>
          </cell>
        </row>
        <row r="2819">
          <cell r="E2819" t="str">
            <v>HFMET181212A2952-100-139</v>
          </cell>
          <cell r="F2819" t="str">
            <v>Meta 57，E07</v>
          </cell>
          <cell r="G2819">
            <v>20</v>
          </cell>
          <cell r="H2819" t="str">
            <v>堆肥样品</v>
          </cell>
          <cell r="I2819">
            <v>605</v>
          </cell>
          <cell r="J2819">
            <v>17.329999999999998</v>
          </cell>
          <cell r="K2819">
            <v>41.14</v>
          </cell>
          <cell r="L2819" t="str">
            <v>合格</v>
          </cell>
          <cell r="M2819" t="str">
            <v>孙家孟/王建敏/张思祺</v>
          </cell>
          <cell r="N2819" t="str">
            <v>20181213-1-B10</v>
          </cell>
          <cell r="Q2819">
            <v>605</v>
          </cell>
        </row>
        <row r="2820">
          <cell r="E2820" t="str">
            <v>HFMET181212A2953-109-139</v>
          </cell>
          <cell r="F2820" t="str">
            <v>Meta 57，E08</v>
          </cell>
          <cell r="G2820">
            <v>20</v>
          </cell>
          <cell r="H2820" t="str">
            <v>堆肥样品</v>
          </cell>
          <cell r="I2820">
            <v>629</v>
          </cell>
          <cell r="J2820">
            <v>13.38</v>
          </cell>
          <cell r="K2820">
            <v>31.11</v>
          </cell>
          <cell r="L2820" t="str">
            <v>合格</v>
          </cell>
          <cell r="M2820" t="str">
            <v>孙家孟/王建敏/张思祺</v>
          </cell>
          <cell r="N2820" t="str">
            <v>20181213-1-B11</v>
          </cell>
          <cell r="Q2820">
            <v>629</v>
          </cell>
        </row>
        <row r="2821">
          <cell r="E2821" t="str">
            <v>HFMET181212A2954-110-139</v>
          </cell>
          <cell r="F2821" t="str">
            <v>Meta 57，E09</v>
          </cell>
          <cell r="G2821">
            <v>20</v>
          </cell>
          <cell r="H2821" t="str">
            <v>堆肥样品</v>
          </cell>
          <cell r="I2821">
            <v>646</v>
          </cell>
          <cell r="J2821">
            <v>11.18</v>
          </cell>
          <cell r="K2821">
            <v>25.46</v>
          </cell>
          <cell r="L2821" t="str">
            <v>合格</v>
          </cell>
          <cell r="M2821" t="str">
            <v>孙家孟/王建敏/张思祺</v>
          </cell>
          <cell r="N2821" t="str">
            <v>20181213-1-B12</v>
          </cell>
          <cell r="Q2821">
            <v>646</v>
          </cell>
        </row>
        <row r="2822">
          <cell r="E2822" t="str">
            <v>HFMET181212A2955-95-140</v>
          </cell>
          <cell r="F2822" t="str">
            <v>Meta 57，E10</v>
          </cell>
          <cell r="G2822">
            <v>20</v>
          </cell>
          <cell r="H2822" t="str">
            <v>堆肥样品</v>
          </cell>
          <cell r="I2822">
            <v>636</v>
          </cell>
          <cell r="J2822">
            <v>9.61</v>
          </cell>
          <cell r="K2822">
            <v>21.89</v>
          </cell>
          <cell r="L2822" t="str">
            <v>合格</v>
          </cell>
          <cell r="M2822" t="str">
            <v>孙家孟/王建敏/张思祺</v>
          </cell>
          <cell r="N2822" t="str">
            <v>20181213-1-B01</v>
          </cell>
          <cell r="Q2822">
            <v>636</v>
          </cell>
        </row>
        <row r="2823">
          <cell r="E2823" t="str">
            <v>HFMET181212A2956-96-140</v>
          </cell>
          <cell r="F2823" t="str">
            <v>Meta 57，E11</v>
          </cell>
          <cell r="G2823">
            <v>20</v>
          </cell>
          <cell r="H2823" t="str">
            <v>堆肥样品</v>
          </cell>
          <cell r="I2823">
            <v>632</v>
          </cell>
          <cell r="J2823">
            <v>11.86</v>
          </cell>
          <cell r="K2823">
            <v>27.11</v>
          </cell>
          <cell r="L2823" t="str">
            <v>合格</v>
          </cell>
          <cell r="M2823" t="str">
            <v>孙家孟/王建敏/张思祺</v>
          </cell>
          <cell r="N2823" t="str">
            <v>20181213-1-C02</v>
          </cell>
          <cell r="Q2823">
            <v>632</v>
          </cell>
        </row>
        <row r="2824">
          <cell r="E2824" t="str">
            <v>HFMET181212A2957-97-140</v>
          </cell>
          <cell r="F2824" t="str">
            <v>Meta 57，E12</v>
          </cell>
          <cell r="G2824">
            <v>20</v>
          </cell>
          <cell r="H2824" t="str">
            <v>堆肥样品</v>
          </cell>
          <cell r="I2824">
            <v>635</v>
          </cell>
          <cell r="J2824">
            <v>13.15</v>
          </cell>
          <cell r="K2824">
            <v>29.94</v>
          </cell>
          <cell r="L2824" t="str">
            <v>合格</v>
          </cell>
          <cell r="M2824" t="str">
            <v>孙家孟/王建敏/张思祺</v>
          </cell>
          <cell r="N2824" t="str">
            <v>20181213-1-C03</v>
          </cell>
          <cell r="Q2824">
            <v>635</v>
          </cell>
        </row>
        <row r="2825">
          <cell r="E2825" t="str">
            <v>HFMET181212A2958-98-140</v>
          </cell>
          <cell r="F2825" t="str">
            <v>Meta 57，F01</v>
          </cell>
          <cell r="G2825">
            <v>20</v>
          </cell>
          <cell r="H2825" t="str">
            <v>堆肥样品</v>
          </cell>
          <cell r="I2825">
            <v>623</v>
          </cell>
          <cell r="J2825">
            <v>12.73</v>
          </cell>
          <cell r="K2825">
            <v>29.53</v>
          </cell>
          <cell r="L2825" t="str">
            <v>合格</v>
          </cell>
          <cell r="M2825" t="str">
            <v>孙家孟/王建敏/张思祺</v>
          </cell>
          <cell r="N2825" t="str">
            <v>20181213-1-C04</v>
          </cell>
          <cell r="Q2825">
            <v>623</v>
          </cell>
        </row>
        <row r="2826">
          <cell r="E2826" t="str">
            <v>HFMET181212A2959-99-140</v>
          </cell>
          <cell r="F2826" t="str">
            <v>Meta 57，F02</v>
          </cell>
          <cell r="G2826">
            <v>20</v>
          </cell>
          <cell r="H2826" t="str">
            <v>堆肥样品</v>
          </cell>
          <cell r="I2826">
            <v>650</v>
          </cell>
          <cell r="J2826">
            <v>8.57</v>
          </cell>
          <cell r="K2826">
            <v>19.670000000000002</v>
          </cell>
          <cell r="L2826" t="str">
            <v>合格</v>
          </cell>
          <cell r="M2826" t="str">
            <v>孙家孟/王建敏/张思祺</v>
          </cell>
          <cell r="N2826" t="str">
            <v>20181213-1-C05</v>
          </cell>
          <cell r="Q2826">
            <v>650</v>
          </cell>
        </row>
        <row r="2827">
          <cell r="E2827" t="str">
            <v>HFMET181212A2960-100-140</v>
          </cell>
          <cell r="F2827" t="str">
            <v>Meta 57，F03</v>
          </cell>
          <cell r="G2827">
            <v>20</v>
          </cell>
          <cell r="H2827" t="str">
            <v>堆肥样品</v>
          </cell>
          <cell r="I2827">
            <v>640</v>
          </cell>
          <cell r="J2827">
            <v>10.54</v>
          </cell>
          <cell r="K2827">
            <v>23.94</v>
          </cell>
          <cell r="L2827" t="str">
            <v>合格</v>
          </cell>
          <cell r="M2827" t="str">
            <v>孙家孟/王建敏/张思祺</v>
          </cell>
          <cell r="N2827" t="str">
            <v>20181213-1-C06</v>
          </cell>
          <cell r="Q2827">
            <v>640</v>
          </cell>
        </row>
        <row r="2828">
          <cell r="E2828" t="str">
            <v>NTC-1-100-140</v>
          </cell>
          <cell r="F2828" t="str">
            <v>Meta 57，F04</v>
          </cell>
          <cell r="G2828">
            <v>20</v>
          </cell>
          <cell r="I2828" t="str">
            <v>无目的峰</v>
          </cell>
          <cell r="J2828">
            <v>9.5399999999999999E-2</v>
          </cell>
          <cell r="K2828">
            <v>0.269982</v>
          </cell>
          <cell r="L2828" t="str">
            <v>合格</v>
          </cell>
          <cell r="M2828" t="str">
            <v>孙家孟/王建敏/张思祺</v>
          </cell>
          <cell r="N2828" t="str">
            <v>20181213-1-C07</v>
          </cell>
          <cell r="Q2828" t="str">
            <v>无目的峰</v>
          </cell>
        </row>
        <row r="2829">
          <cell r="E2829" t="str">
            <v>NTC-2-100-140</v>
          </cell>
          <cell r="F2829" t="str">
            <v>Meta 57，F05</v>
          </cell>
          <cell r="G2829">
            <v>20</v>
          </cell>
          <cell r="I2829" t="str">
            <v>无目的峰</v>
          </cell>
          <cell r="J2829">
            <v>3.8399999999999997E-2</v>
          </cell>
          <cell r="K2829">
            <v>0.108672</v>
          </cell>
          <cell r="L2829" t="str">
            <v>合格</v>
          </cell>
          <cell r="M2829" t="str">
            <v>孙家孟/王建敏/张思祺</v>
          </cell>
          <cell r="N2829" t="str">
            <v>20181213-1-C08</v>
          </cell>
          <cell r="Q2829" t="str">
            <v>无目的峰</v>
          </cell>
        </row>
        <row r="2830">
          <cell r="E2830" t="str">
            <v>HFMET181213A2961-101-138</v>
          </cell>
          <cell r="F2830" t="str">
            <v>Meta 57，F06</v>
          </cell>
          <cell r="G2830">
            <v>20</v>
          </cell>
          <cell r="H2830" t="str">
            <v>粪便</v>
          </cell>
          <cell r="I2830">
            <v>554</v>
          </cell>
          <cell r="J2830">
            <v>51.22</v>
          </cell>
          <cell r="K2830">
            <v>125.16</v>
          </cell>
          <cell r="L2830" t="str">
            <v>合格</v>
          </cell>
          <cell r="M2830" t="str">
            <v>孙家孟/王建敏/张思祺</v>
          </cell>
          <cell r="N2830" t="str">
            <v>20181213003-85</v>
          </cell>
          <cell r="Q2830">
            <v>554</v>
          </cell>
        </row>
        <row r="2831">
          <cell r="E2831" t="str">
            <v>HFMET181213A2962-102-138</v>
          </cell>
          <cell r="F2831" t="str">
            <v>Meta 57，F07</v>
          </cell>
          <cell r="G2831">
            <v>20</v>
          </cell>
          <cell r="H2831" t="str">
            <v>粪便</v>
          </cell>
          <cell r="I2831">
            <v>576</v>
          </cell>
          <cell r="J2831">
            <v>24.27</v>
          </cell>
          <cell r="K2831">
            <v>58.87</v>
          </cell>
          <cell r="L2831" t="str">
            <v>合格</v>
          </cell>
          <cell r="M2831" t="str">
            <v>孙家孟/王建敏/张思祺</v>
          </cell>
          <cell r="N2831" t="str">
            <v>20181213003-86</v>
          </cell>
          <cell r="Q2831">
            <v>576</v>
          </cell>
        </row>
        <row r="2832">
          <cell r="E2832" t="str">
            <v>HFMET181213A2963-103-138</v>
          </cell>
          <cell r="F2832" t="str">
            <v>Meta 57，F08</v>
          </cell>
          <cell r="G2832">
            <v>20</v>
          </cell>
          <cell r="H2832" t="str">
            <v>粪便</v>
          </cell>
          <cell r="I2832">
            <v>623</v>
          </cell>
          <cell r="J2832">
            <v>3.5</v>
          </cell>
          <cell r="K2832">
            <v>7.94</v>
          </cell>
          <cell r="L2832" t="str">
            <v>合格</v>
          </cell>
          <cell r="M2832" t="str">
            <v>孙家孟/王建敏/张思祺</v>
          </cell>
          <cell r="N2832" t="str">
            <v>20181213003-87</v>
          </cell>
          <cell r="Q2832">
            <v>623</v>
          </cell>
        </row>
        <row r="2833">
          <cell r="E2833" t="str">
            <v>HFMET181213A2964-104-138</v>
          </cell>
          <cell r="F2833" t="str">
            <v>Meta 57，F09</v>
          </cell>
          <cell r="G2833">
            <v>20</v>
          </cell>
          <cell r="H2833" t="str">
            <v>粪便</v>
          </cell>
          <cell r="I2833">
            <v>590</v>
          </cell>
          <cell r="J2833">
            <v>13.34</v>
          </cell>
          <cell r="K2833">
            <v>31.8</v>
          </cell>
          <cell r="L2833" t="str">
            <v>合格</v>
          </cell>
          <cell r="M2833" t="str">
            <v>孙家孟/王建敏/张思祺</v>
          </cell>
          <cell r="N2833" t="str">
            <v>20181213003-88</v>
          </cell>
          <cell r="Q2833">
            <v>590</v>
          </cell>
        </row>
        <row r="2834">
          <cell r="E2834" t="str">
            <v>HFMET181213A2965-105-138</v>
          </cell>
          <cell r="F2834" t="str">
            <v>Meta 57，F10</v>
          </cell>
          <cell r="G2834">
            <v>20</v>
          </cell>
          <cell r="H2834" t="str">
            <v>种子细菌</v>
          </cell>
          <cell r="I2834">
            <v>593</v>
          </cell>
          <cell r="J2834">
            <v>14.86</v>
          </cell>
          <cell r="K2834">
            <v>35.950000000000003</v>
          </cell>
          <cell r="L2834" t="str">
            <v>合格</v>
          </cell>
          <cell r="M2834" t="str">
            <v>孙家孟/王建敏/张思祺</v>
          </cell>
          <cell r="N2834" t="str">
            <v>20181214005-6</v>
          </cell>
          <cell r="Q2834">
            <v>593</v>
          </cell>
        </row>
        <row r="2835">
          <cell r="E2835" t="str">
            <v>HFMET181213A2966-106-138</v>
          </cell>
          <cell r="F2835" t="str">
            <v>Meta 57，F11</v>
          </cell>
          <cell r="G2835">
            <v>20</v>
          </cell>
          <cell r="H2835" t="str">
            <v>种子细菌</v>
          </cell>
          <cell r="I2835">
            <v>601</v>
          </cell>
          <cell r="J2835">
            <v>12.75</v>
          </cell>
          <cell r="K2835">
            <v>30.65</v>
          </cell>
          <cell r="L2835" t="str">
            <v>合格</v>
          </cell>
          <cell r="M2835" t="str">
            <v>孙家孟/王建敏/张思祺</v>
          </cell>
          <cell r="N2835" t="str">
            <v>20181214005-7</v>
          </cell>
          <cell r="Q2835">
            <v>601</v>
          </cell>
        </row>
        <row r="2836">
          <cell r="E2836" t="str">
            <v>HFMET181213A2967-107-138</v>
          </cell>
          <cell r="F2836" t="str">
            <v>Meta 57，F12</v>
          </cell>
          <cell r="G2836">
            <v>20</v>
          </cell>
          <cell r="H2836" t="str">
            <v>餐厨垃圾</v>
          </cell>
          <cell r="I2836">
            <v>607</v>
          </cell>
          <cell r="J2836">
            <v>20.5</v>
          </cell>
          <cell r="K2836">
            <v>48.42</v>
          </cell>
          <cell r="L2836" t="str">
            <v>合格</v>
          </cell>
          <cell r="M2836" t="str">
            <v>孙家孟/王建敏/张思祺</v>
          </cell>
          <cell r="N2836" t="str">
            <v>20181214005-8</v>
          </cell>
          <cell r="Q2836">
            <v>607</v>
          </cell>
        </row>
        <row r="2837">
          <cell r="E2837" t="str">
            <v>HFMET181213A2968-107-138</v>
          </cell>
          <cell r="F2837" t="str">
            <v>Meta 57，G01</v>
          </cell>
          <cell r="G2837">
            <v>20</v>
          </cell>
          <cell r="I2837" t="str">
            <v>无目的峰</v>
          </cell>
          <cell r="J2837">
            <v>6.5000000000000002E-2</v>
          </cell>
          <cell r="K2837">
            <v>0.18395</v>
          </cell>
          <cell r="L2837" t="str">
            <v>合格</v>
          </cell>
          <cell r="M2837" t="str">
            <v>孙家孟/王建敏/张思祺</v>
          </cell>
          <cell r="N2837" t="str">
            <v>20181213003-9</v>
          </cell>
          <cell r="Q2837" t="str">
            <v>无目的峰</v>
          </cell>
        </row>
        <row r="2838">
          <cell r="E2838" t="str">
            <v>HFMET181213A2969-66-83</v>
          </cell>
          <cell r="F2838" t="str">
            <v>Meta 57，G02</v>
          </cell>
          <cell r="G2838">
            <v>20</v>
          </cell>
          <cell r="H2838" t="str">
            <v>餐厨垃圾</v>
          </cell>
          <cell r="I2838">
            <v>522</v>
          </cell>
          <cell r="J2838">
            <v>7.22</v>
          </cell>
          <cell r="K2838">
            <v>20.170000000000002</v>
          </cell>
          <cell r="L2838" t="str">
            <v>不合格</v>
          </cell>
          <cell r="M2838" t="str">
            <v>孙家孟/王建敏/张思祺</v>
          </cell>
          <cell r="N2838" t="str">
            <v>20181213003-93</v>
          </cell>
          <cell r="Q2838">
            <v>522</v>
          </cell>
        </row>
        <row r="2839">
          <cell r="E2839" t="str">
            <v>HFMET181213A2970-66-83</v>
          </cell>
          <cell r="F2839" t="str">
            <v>Meta 57，G03</v>
          </cell>
          <cell r="G2839">
            <v>20</v>
          </cell>
          <cell r="I2839" t="str">
            <v>无目的峰</v>
          </cell>
          <cell r="J2839">
            <v>5.6399999999999999E-2</v>
          </cell>
          <cell r="K2839">
            <v>0.159612</v>
          </cell>
          <cell r="L2839" t="str">
            <v>合格</v>
          </cell>
          <cell r="M2839" t="str">
            <v>孙家孟/王建敏/张思祺</v>
          </cell>
          <cell r="N2839" t="str">
            <v>20181214005-9</v>
          </cell>
          <cell r="Q2839" t="str">
            <v>无目的峰</v>
          </cell>
        </row>
        <row r="2840">
          <cell r="E2840" t="str">
            <v>HFMET181217A2971-103-140</v>
          </cell>
          <cell r="F2840" t="str">
            <v>Meta 57，G04</v>
          </cell>
          <cell r="G2840">
            <v>20</v>
          </cell>
          <cell r="H2840" t="str">
            <v>鸭盲肠内容物</v>
          </cell>
          <cell r="I2840">
            <v>659</v>
          </cell>
          <cell r="J2840">
            <v>5.36</v>
          </cell>
          <cell r="K2840">
            <v>11.75</v>
          </cell>
          <cell r="L2840" t="str">
            <v>合格</v>
          </cell>
          <cell r="M2840" t="str">
            <v>王丹丹/朱绪涛</v>
          </cell>
          <cell r="N2840" t="str">
            <v>20181218-2-5</v>
          </cell>
          <cell r="P2840" t="str">
            <v>Qsep 100</v>
          </cell>
          <cell r="Q2840">
            <v>659</v>
          </cell>
        </row>
        <row r="2841">
          <cell r="E2841" t="str">
            <v>HFMET181217A2972-104-140</v>
          </cell>
          <cell r="F2841" t="str">
            <v>Meta 57，G05</v>
          </cell>
          <cell r="G2841">
            <v>20</v>
          </cell>
          <cell r="H2841" t="str">
            <v>鸭盲肠内容物</v>
          </cell>
          <cell r="I2841">
            <v>649</v>
          </cell>
          <cell r="J2841">
            <v>7.96</v>
          </cell>
          <cell r="K2841">
            <v>17.54</v>
          </cell>
          <cell r="L2841" t="str">
            <v>合格</v>
          </cell>
          <cell r="M2841" t="str">
            <v>王丹丹/朱绪涛</v>
          </cell>
          <cell r="N2841" t="str">
            <v>20181218-2-6</v>
          </cell>
          <cell r="P2841" t="str">
            <v>Qsep 100</v>
          </cell>
          <cell r="Q2841">
            <v>649</v>
          </cell>
        </row>
        <row r="2842">
          <cell r="E2842" t="str">
            <v>HFMET181217A2973-105-140</v>
          </cell>
          <cell r="F2842" t="str">
            <v>Meta 57，G06</v>
          </cell>
          <cell r="G2842">
            <v>20</v>
          </cell>
          <cell r="H2842" t="str">
            <v>鸭盲肠内容物</v>
          </cell>
          <cell r="I2842">
            <v>616</v>
          </cell>
          <cell r="J2842">
            <v>11.9</v>
          </cell>
          <cell r="K2842">
            <v>27.56</v>
          </cell>
          <cell r="L2842" t="str">
            <v>合格</v>
          </cell>
          <cell r="M2842" t="str">
            <v>王丹丹/朱绪涛</v>
          </cell>
          <cell r="N2842" t="str">
            <v>20181218-2-7</v>
          </cell>
          <cell r="P2842" t="str">
            <v>Qsep 100</v>
          </cell>
          <cell r="Q2842">
            <v>616</v>
          </cell>
        </row>
        <row r="2843">
          <cell r="E2843" t="str">
            <v>HFMET181217A2974-106-140</v>
          </cell>
          <cell r="F2843" t="str">
            <v>Meta 57，G07</v>
          </cell>
          <cell r="G2843">
            <v>20</v>
          </cell>
          <cell r="H2843" t="str">
            <v>鸭盲肠内容物</v>
          </cell>
          <cell r="I2843">
            <v>657</v>
          </cell>
          <cell r="J2843">
            <v>8.02</v>
          </cell>
          <cell r="K2843">
            <v>17.53</v>
          </cell>
          <cell r="L2843" t="str">
            <v>合格</v>
          </cell>
          <cell r="M2843" t="str">
            <v>王丹丹/朱绪涛</v>
          </cell>
          <cell r="N2843" t="str">
            <v>20181218-2-8</v>
          </cell>
          <cell r="P2843" t="str">
            <v>Qsep 100</v>
          </cell>
          <cell r="Q2843">
            <v>657</v>
          </cell>
        </row>
        <row r="2844">
          <cell r="E2844" t="str">
            <v>HFMET181217A2975-107-140</v>
          </cell>
          <cell r="F2844" t="str">
            <v>Meta 57，G08</v>
          </cell>
          <cell r="G2844">
            <v>20</v>
          </cell>
          <cell r="H2844" t="str">
            <v>鸭盲肠内容物</v>
          </cell>
          <cell r="I2844">
            <v>581</v>
          </cell>
          <cell r="J2844">
            <v>19.41</v>
          </cell>
          <cell r="K2844">
            <v>46.1</v>
          </cell>
          <cell r="L2844" t="str">
            <v>合格</v>
          </cell>
          <cell r="M2844" t="str">
            <v>王丹丹/朱绪涛</v>
          </cell>
          <cell r="N2844" t="str">
            <v>20181218-2-9</v>
          </cell>
          <cell r="P2844" t="str">
            <v>Qsep 100</v>
          </cell>
          <cell r="Q2844">
            <v>581</v>
          </cell>
        </row>
        <row r="2845">
          <cell r="E2845" t="str">
            <v>HFMET181217A2976-108-140</v>
          </cell>
          <cell r="F2845" t="str">
            <v>Meta 57，G09</v>
          </cell>
          <cell r="G2845">
            <v>20</v>
          </cell>
          <cell r="H2845" t="str">
            <v>鸭盲肠内容物</v>
          </cell>
          <cell r="I2845">
            <v>651</v>
          </cell>
          <cell r="J2845">
            <v>7.05</v>
          </cell>
          <cell r="K2845">
            <v>16.03</v>
          </cell>
          <cell r="L2845" t="str">
            <v>合格</v>
          </cell>
          <cell r="M2845" t="str">
            <v>王丹丹/朱绪涛</v>
          </cell>
          <cell r="N2845" t="str">
            <v>20181218-2-10</v>
          </cell>
          <cell r="P2845" t="str">
            <v>Qsep 100</v>
          </cell>
          <cell r="Q2845">
            <v>651</v>
          </cell>
        </row>
        <row r="2846">
          <cell r="E2846" t="str">
            <v>HFMET181217A2977-109-140</v>
          </cell>
          <cell r="F2846" t="str">
            <v>Meta 57，G10</v>
          </cell>
          <cell r="G2846">
            <v>20</v>
          </cell>
          <cell r="H2846" t="str">
            <v>鸭盲肠内容物</v>
          </cell>
          <cell r="I2846">
            <v>632</v>
          </cell>
          <cell r="J2846">
            <v>11.64</v>
          </cell>
          <cell r="K2846">
            <v>25.99</v>
          </cell>
          <cell r="L2846" t="str">
            <v>合格</v>
          </cell>
          <cell r="M2846" t="str">
            <v>王丹丹/朱绪涛</v>
          </cell>
          <cell r="N2846" t="str">
            <v>20181218-2-11</v>
          </cell>
          <cell r="P2846" t="str">
            <v>Qsep 100</v>
          </cell>
          <cell r="Q2846">
            <v>632</v>
          </cell>
        </row>
        <row r="2847">
          <cell r="E2847" t="str">
            <v>HFMET181217A2978-110-140</v>
          </cell>
          <cell r="F2847" t="str">
            <v>Meta 57，G11</v>
          </cell>
          <cell r="G2847">
            <v>20</v>
          </cell>
          <cell r="H2847" t="str">
            <v>鸭盲肠内容物</v>
          </cell>
          <cell r="I2847">
            <v>611</v>
          </cell>
          <cell r="J2847">
            <v>17.04</v>
          </cell>
          <cell r="K2847">
            <v>38.659999999999997</v>
          </cell>
          <cell r="L2847" t="str">
            <v>合格</v>
          </cell>
          <cell r="M2847" t="str">
            <v>王丹丹/朱绪涛</v>
          </cell>
          <cell r="N2847" t="str">
            <v>20181218-2-12</v>
          </cell>
          <cell r="P2847" t="str">
            <v>Qsep 100</v>
          </cell>
          <cell r="Q2847">
            <v>611</v>
          </cell>
        </row>
        <row r="2848">
          <cell r="E2848" t="str">
            <v>HFMET181217A2979-103-141</v>
          </cell>
          <cell r="F2848" t="str">
            <v>Meta 57，G12</v>
          </cell>
          <cell r="G2848">
            <v>20</v>
          </cell>
          <cell r="H2848" t="str">
            <v>鸭盲肠内容物</v>
          </cell>
          <cell r="I2848">
            <v>588</v>
          </cell>
          <cell r="J2848">
            <v>14.59</v>
          </cell>
          <cell r="K2848">
            <v>34.729999999999997</v>
          </cell>
          <cell r="L2848" t="str">
            <v>合格</v>
          </cell>
          <cell r="M2848" t="str">
            <v>王丹丹/朱绪涛</v>
          </cell>
          <cell r="N2848" t="str">
            <v>20181218-2-13</v>
          </cell>
          <cell r="P2848" t="str">
            <v>Qsep 100</v>
          </cell>
          <cell r="Q2848">
            <v>588</v>
          </cell>
        </row>
        <row r="2849">
          <cell r="E2849" t="str">
            <v>HFMET181217A2980-104-141</v>
          </cell>
          <cell r="F2849" t="str">
            <v>Meta 57，H01</v>
          </cell>
          <cell r="G2849">
            <v>20</v>
          </cell>
          <cell r="H2849" t="str">
            <v>鸭盲肠内容物</v>
          </cell>
          <cell r="I2849">
            <v>632</v>
          </cell>
          <cell r="J2849">
            <v>9.9600000000000009</v>
          </cell>
          <cell r="K2849">
            <v>22.5</v>
          </cell>
          <cell r="L2849" t="str">
            <v>合格</v>
          </cell>
          <cell r="M2849" t="str">
            <v>王丹丹/朱绪涛</v>
          </cell>
          <cell r="N2849" t="str">
            <v>20181218-2-14</v>
          </cell>
          <cell r="P2849" t="str">
            <v>Qsep 100</v>
          </cell>
          <cell r="Q2849">
            <v>632</v>
          </cell>
        </row>
        <row r="2850">
          <cell r="E2850" t="str">
            <v>HFMET181217A2981-105-141</v>
          </cell>
          <cell r="F2850" t="str">
            <v>Meta 57，H02</v>
          </cell>
          <cell r="G2850">
            <v>20</v>
          </cell>
          <cell r="H2850" t="str">
            <v>鸭盲肠内容物</v>
          </cell>
          <cell r="I2850">
            <v>622</v>
          </cell>
          <cell r="J2850">
            <v>8.08</v>
          </cell>
          <cell r="K2850">
            <v>18.829999999999998</v>
          </cell>
          <cell r="L2850" t="str">
            <v>合格</v>
          </cell>
          <cell r="M2850" t="str">
            <v>王丹丹/朱绪涛</v>
          </cell>
          <cell r="N2850" t="str">
            <v>20181218-2-15</v>
          </cell>
          <cell r="P2850" t="str">
            <v>Qsep 100</v>
          </cell>
          <cell r="Q2850">
            <v>622</v>
          </cell>
        </row>
        <row r="2851">
          <cell r="E2851" t="str">
            <v>HFMET181217A2982-106-141</v>
          </cell>
          <cell r="F2851" t="str">
            <v>Meta 57，H03</v>
          </cell>
          <cell r="G2851">
            <v>20</v>
          </cell>
          <cell r="H2851" t="str">
            <v>鸭盲肠内容物</v>
          </cell>
          <cell r="I2851">
            <v>584</v>
          </cell>
          <cell r="J2851">
            <v>14.6</v>
          </cell>
          <cell r="K2851">
            <v>35.08</v>
          </cell>
          <cell r="L2851" t="str">
            <v>合格</v>
          </cell>
          <cell r="M2851" t="str">
            <v>王丹丹/朱绪涛</v>
          </cell>
          <cell r="N2851" t="str">
            <v>20181218-2-16</v>
          </cell>
          <cell r="P2851" t="str">
            <v>Qsep 100</v>
          </cell>
          <cell r="Q2851">
            <v>584</v>
          </cell>
        </row>
        <row r="2852">
          <cell r="E2852" t="str">
            <v>HFMET181217A2983-107-141</v>
          </cell>
          <cell r="F2852" t="str">
            <v>Meta 57，H04</v>
          </cell>
          <cell r="G2852">
            <v>20</v>
          </cell>
          <cell r="H2852" t="str">
            <v>鸭盲肠内容物</v>
          </cell>
          <cell r="I2852" t="str">
            <v>无目的峰</v>
          </cell>
          <cell r="J2852">
            <v>0.01</v>
          </cell>
          <cell r="K2852">
            <v>0.02</v>
          </cell>
          <cell r="L2852" t="str">
            <v>不合格</v>
          </cell>
          <cell r="M2852" t="str">
            <v>王丹丹/朱绪涛</v>
          </cell>
          <cell r="N2852" t="str">
            <v>20181218-2-17</v>
          </cell>
          <cell r="P2852" t="str">
            <v>Qsep 100</v>
          </cell>
          <cell r="Q2852" t="str">
            <v>无目的峰</v>
          </cell>
        </row>
        <row r="2853">
          <cell r="E2853" t="str">
            <v>HFMET181217A2984-108-141</v>
          </cell>
          <cell r="F2853" t="str">
            <v>Meta 57，H05</v>
          </cell>
          <cell r="G2853">
            <v>20</v>
          </cell>
          <cell r="H2853" t="str">
            <v>鸭盲肠内容物</v>
          </cell>
          <cell r="I2853">
            <v>667</v>
          </cell>
          <cell r="J2853">
            <v>4.1500000000000004</v>
          </cell>
          <cell r="K2853">
            <v>9.3000000000000007</v>
          </cell>
          <cell r="L2853" t="str">
            <v>合格</v>
          </cell>
          <cell r="M2853" t="str">
            <v>王丹丹/朱绪涛</v>
          </cell>
          <cell r="N2853" t="str">
            <v>20181218-2-18</v>
          </cell>
          <cell r="P2853" t="str">
            <v>Qsep 100</v>
          </cell>
          <cell r="Q2853">
            <v>667</v>
          </cell>
        </row>
        <row r="2854">
          <cell r="E2854" t="str">
            <v>HFMET181217A2985-109-141</v>
          </cell>
          <cell r="F2854" t="str">
            <v>Meta 57，H06</v>
          </cell>
          <cell r="G2854">
            <v>20</v>
          </cell>
          <cell r="H2854" t="str">
            <v>鸭盲肠内容物</v>
          </cell>
          <cell r="I2854">
            <v>651</v>
          </cell>
          <cell r="J2854">
            <v>6.14</v>
          </cell>
          <cell r="K2854">
            <v>13.68</v>
          </cell>
          <cell r="L2854" t="str">
            <v>合格</v>
          </cell>
          <cell r="M2854" t="str">
            <v>王丹丹/朱绪涛</v>
          </cell>
          <cell r="N2854" t="str">
            <v>20181218-2-19</v>
          </cell>
          <cell r="P2854" t="str">
            <v>Qsep 100</v>
          </cell>
          <cell r="Q2854">
            <v>651</v>
          </cell>
        </row>
        <row r="2855">
          <cell r="E2855" t="str">
            <v>HFMET181217A2986-110-141</v>
          </cell>
          <cell r="F2855" t="str">
            <v>Meta 57，H07</v>
          </cell>
          <cell r="G2855">
            <v>20</v>
          </cell>
          <cell r="H2855" t="str">
            <v>鸭盲肠内容物</v>
          </cell>
          <cell r="I2855">
            <v>646</v>
          </cell>
          <cell r="J2855">
            <v>7.95</v>
          </cell>
          <cell r="K2855">
            <v>17.72</v>
          </cell>
          <cell r="L2855" t="str">
            <v>合格</v>
          </cell>
          <cell r="M2855" t="str">
            <v>王丹丹/朱绪涛</v>
          </cell>
          <cell r="N2855" t="str">
            <v>20181218-2-20</v>
          </cell>
          <cell r="P2855" t="str">
            <v>Qsep 100</v>
          </cell>
          <cell r="Q2855">
            <v>646</v>
          </cell>
        </row>
        <row r="2856">
          <cell r="E2856" t="str">
            <v>HFMET181217A2987-103-142</v>
          </cell>
          <cell r="F2856" t="str">
            <v>Meta 57，H08</v>
          </cell>
          <cell r="G2856">
            <v>20</v>
          </cell>
          <cell r="H2856" t="str">
            <v>鸭盲肠内容物</v>
          </cell>
          <cell r="I2856">
            <v>661</v>
          </cell>
          <cell r="J2856">
            <v>5.87</v>
          </cell>
          <cell r="K2856">
            <v>12.9</v>
          </cell>
          <cell r="L2856" t="str">
            <v>合格</v>
          </cell>
          <cell r="M2856" t="str">
            <v>王丹丹/朱绪涛</v>
          </cell>
          <cell r="N2856" t="str">
            <v>20181218-2-21</v>
          </cell>
          <cell r="P2856" t="str">
            <v>Qsep 100</v>
          </cell>
          <cell r="Q2856">
            <v>661</v>
          </cell>
        </row>
        <row r="2857">
          <cell r="E2857" t="str">
            <v>HFMET181217A2988-104-142</v>
          </cell>
          <cell r="F2857" t="str">
            <v>Meta 57，H09</v>
          </cell>
          <cell r="G2857">
            <v>20</v>
          </cell>
          <cell r="H2857" t="str">
            <v>鸭盲肠内容物</v>
          </cell>
          <cell r="I2857">
            <v>664</v>
          </cell>
          <cell r="J2857">
            <v>4.4000000000000004</v>
          </cell>
          <cell r="K2857">
            <v>9.6300000000000008</v>
          </cell>
          <cell r="L2857" t="str">
            <v>合格</v>
          </cell>
          <cell r="M2857" t="str">
            <v>王丹丹/朱绪涛</v>
          </cell>
          <cell r="N2857" t="str">
            <v>20181218-2-22</v>
          </cell>
          <cell r="P2857" t="str">
            <v>Qsep 100</v>
          </cell>
          <cell r="Q2857">
            <v>664</v>
          </cell>
        </row>
        <row r="2858">
          <cell r="E2858" t="str">
            <v>HFMET181217A2989-105-142</v>
          </cell>
          <cell r="F2858" t="str">
            <v>Meta 57，H10</v>
          </cell>
          <cell r="G2858">
            <v>20</v>
          </cell>
          <cell r="H2858" t="str">
            <v>鸭盲肠内容物</v>
          </cell>
          <cell r="I2858">
            <v>633</v>
          </cell>
          <cell r="J2858">
            <v>7.59</v>
          </cell>
          <cell r="K2858">
            <v>17.28</v>
          </cell>
          <cell r="L2858" t="str">
            <v>合格</v>
          </cell>
          <cell r="M2858" t="str">
            <v>王丹丹/朱绪涛</v>
          </cell>
          <cell r="N2858" t="str">
            <v>20181218-2-23</v>
          </cell>
          <cell r="P2858" t="str">
            <v>Qsep 100</v>
          </cell>
          <cell r="Q2858">
            <v>633</v>
          </cell>
        </row>
        <row r="2859">
          <cell r="E2859" t="str">
            <v>HFMET181217A2990-106-142</v>
          </cell>
          <cell r="F2859" t="str">
            <v>Meta 57，H11</v>
          </cell>
          <cell r="G2859">
            <v>20</v>
          </cell>
          <cell r="H2859" t="str">
            <v>鸭盲肠内容物</v>
          </cell>
          <cell r="I2859">
            <v>656</v>
          </cell>
          <cell r="J2859">
            <v>4.8499999999999996</v>
          </cell>
          <cell r="K2859">
            <v>10.76</v>
          </cell>
          <cell r="L2859" t="str">
            <v>合格</v>
          </cell>
          <cell r="M2859" t="str">
            <v>王丹丹/朱绪涛</v>
          </cell>
          <cell r="N2859" t="str">
            <v>20181218-2-24</v>
          </cell>
          <cell r="P2859" t="str">
            <v>Qsep 100</v>
          </cell>
          <cell r="Q2859">
            <v>656</v>
          </cell>
        </row>
        <row r="2860">
          <cell r="E2860" t="str">
            <v>HFMET181217A2991-107-142</v>
          </cell>
          <cell r="F2860" t="str">
            <v>Meta 57，H12</v>
          </cell>
          <cell r="G2860">
            <v>20</v>
          </cell>
          <cell r="H2860" t="str">
            <v>鸭盲肠内容物</v>
          </cell>
          <cell r="I2860">
            <v>603</v>
          </cell>
          <cell r="J2860">
            <v>11.01</v>
          </cell>
          <cell r="K2860">
            <v>26.23</v>
          </cell>
          <cell r="L2860" t="str">
            <v>合格</v>
          </cell>
          <cell r="M2860" t="str">
            <v>王丹丹/朱绪涛</v>
          </cell>
          <cell r="N2860" t="str">
            <v>20181218-2-25</v>
          </cell>
          <cell r="P2860" t="str">
            <v>Qsep 100</v>
          </cell>
          <cell r="Q2860">
            <v>603</v>
          </cell>
        </row>
        <row r="2861">
          <cell r="E2861" t="str">
            <v>HFMET181217A2992-108-142</v>
          </cell>
          <cell r="F2861" t="str">
            <v>Meta 58，A01</v>
          </cell>
          <cell r="G2861">
            <v>20</v>
          </cell>
          <cell r="H2861" t="str">
            <v>鸭盲肠内容物</v>
          </cell>
          <cell r="I2861">
            <v>639</v>
          </cell>
          <cell r="J2861">
            <v>5.39</v>
          </cell>
          <cell r="K2861">
            <v>12.53</v>
          </cell>
          <cell r="L2861" t="str">
            <v>合格</v>
          </cell>
          <cell r="M2861" t="str">
            <v>王丹丹/朱绪涛</v>
          </cell>
          <cell r="N2861" t="str">
            <v>20181218-2-26</v>
          </cell>
          <cell r="P2861" t="str">
            <v>Qsep 100</v>
          </cell>
          <cell r="Q2861">
            <v>639</v>
          </cell>
        </row>
        <row r="2862">
          <cell r="E2862" t="str">
            <v>HFMET181217A2993-109-142</v>
          </cell>
          <cell r="F2862" t="str">
            <v>Meta 58，A02</v>
          </cell>
          <cell r="G2862">
            <v>20</v>
          </cell>
          <cell r="H2862" t="str">
            <v>鸭盲肠内容物</v>
          </cell>
          <cell r="I2862">
            <v>625</v>
          </cell>
          <cell r="J2862">
            <v>9.9</v>
          </cell>
          <cell r="K2862">
            <v>22.83</v>
          </cell>
          <cell r="L2862" t="str">
            <v>合格</v>
          </cell>
          <cell r="M2862" t="str">
            <v>王丹丹/朱绪涛</v>
          </cell>
          <cell r="N2862" t="str">
            <v>20181218-2-27</v>
          </cell>
          <cell r="P2862" t="str">
            <v>Qsep 100</v>
          </cell>
          <cell r="Q2862">
            <v>625</v>
          </cell>
        </row>
        <row r="2863">
          <cell r="E2863" t="str">
            <v>HFMET181217A2994-110-142</v>
          </cell>
          <cell r="F2863" t="str">
            <v>Meta 58，A03</v>
          </cell>
          <cell r="G2863">
            <v>20</v>
          </cell>
          <cell r="H2863" t="str">
            <v>鸭盲肠内容物</v>
          </cell>
          <cell r="I2863">
            <v>590</v>
          </cell>
          <cell r="J2863">
            <v>14.68</v>
          </cell>
          <cell r="K2863">
            <v>35.380000000000003</v>
          </cell>
          <cell r="L2863" t="str">
            <v>合格</v>
          </cell>
          <cell r="M2863" t="str">
            <v>王丹丹/朱绪涛</v>
          </cell>
          <cell r="N2863" t="str">
            <v>20181218-2-28</v>
          </cell>
          <cell r="P2863" t="str">
            <v>Qsep 100</v>
          </cell>
          <cell r="Q2863">
            <v>590</v>
          </cell>
        </row>
        <row r="2864">
          <cell r="E2864" t="str">
            <v>HFMET181217B3007-62-82</v>
          </cell>
          <cell r="F2864" t="str">
            <v>Meta 58，B07</v>
          </cell>
          <cell r="G2864">
            <v>20</v>
          </cell>
          <cell r="H2864" t="str">
            <v>醋</v>
          </cell>
          <cell r="I2864" t="str">
            <v>无目的峰</v>
          </cell>
          <cell r="J2864">
            <v>0</v>
          </cell>
          <cell r="K2864">
            <v>0</v>
          </cell>
          <cell r="L2864" t="str">
            <v>不合格</v>
          </cell>
          <cell r="M2864" t="str">
            <v>王丹丹/朱绪涛</v>
          </cell>
          <cell r="N2864" t="str">
            <v>20181218-1-1</v>
          </cell>
          <cell r="P2864" t="str">
            <v>Qsep 100</v>
          </cell>
          <cell r="Q2864" t="str">
            <v>无目的峰</v>
          </cell>
        </row>
        <row r="2865">
          <cell r="E2865" t="str">
            <v>HFMET181217B3008-63-82</v>
          </cell>
          <cell r="F2865" t="str">
            <v>Meta 58，B08</v>
          </cell>
          <cell r="G2865">
            <v>20</v>
          </cell>
          <cell r="H2865" t="str">
            <v>醋</v>
          </cell>
          <cell r="I2865" t="str">
            <v>无目的峰</v>
          </cell>
          <cell r="J2865">
            <v>0.01</v>
          </cell>
          <cell r="K2865">
            <v>0.03</v>
          </cell>
          <cell r="L2865" t="str">
            <v>不合格</v>
          </cell>
          <cell r="M2865" t="str">
            <v>王丹丹/朱绪涛</v>
          </cell>
          <cell r="N2865" t="str">
            <v>20181218-1-2</v>
          </cell>
          <cell r="P2865" t="str">
            <v>Qsep 100</v>
          </cell>
          <cell r="Q2865" t="str">
            <v>无目的峰</v>
          </cell>
        </row>
        <row r="2866">
          <cell r="E2866" t="str">
            <v>HFMET181217B3009-64-82</v>
          </cell>
          <cell r="F2866" t="str">
            <v>Meta 58，B09</v>
          </cell>
          <cell r="G2866">
            <v>20</v>
          </cell>
          <cell r="H2866" t="str">
            <v>醋</v>
          </cell>
          <cell r="I2866" t="str">
            <v>无目的峰</v>
          </cell>
          <cell r="J2866">
            <v>0.02</v>
          </cell>
          <cell r="K2866">
            <v>0.1</v>
          </cell>
          <cell r="L2866" t="str">
            <v>不合格</v>
          </cell>
          <cell r="M2866" t="str">
            <v>王丹丹/朱绪涛</v>
          </cell>
          <cell r="N2866" t="str">
            <v>20181218-1-3</v>
          </cell>
          <cell r="P2866" t="str">
            <v>Qsep 100</v>
          </cell>
          <cell r="Q2866" t="str">
            <v>无目的峰</v>
          </cell>
        </row>
        <row r="2867">
          <cell r="E2867" t="str">
            <v>HFMET181217B3010-66-83</v>
          </cell>
          <cell r="F2867" t="str">
            <v>Meta 58，B10</v>
          </cell>
          <cell r="G2867">
            <v>20</v>
          </cell>
          <cell r="H2867" t="str">
            <v>餐厨垃圾</v>
          </cell>
          <cell r="I2867">
            <v>585</v>
          </cell>
          <cell r="J2867">
            <v>0.01</v>
          </cell>
          <cell r="K2867">
            <v>0.05</v>
          </cell>
          <cell r="L2867" t="str">
            <v>不合格</v>
          </cell>
          <cell r="M2867" t="str">
            <v>王丹丹/朱绪涛</v>
          </cell>
          <cell r="N2867" t="str">
            <v>20181218-1-4</v>
          </cell>
          <cell r="O2867" t="str">
            <v>非目的片段</v>
          </cell>
          <cell r="P2867" t="str">
            <v>Qsep 100</v>
          </cell>
          <cell r="Q2867" t="str">
            <v>非目的片段</v>
          </cell>
        </row>
        <row r="2868">
          <cell r="E2868" t="str">
            <v>NTC4-66-83</v>
          </cell>
          <cell r="F2868" t="str">
            <v>Meta 58，B11</v>
          </cell>
          <cell r="G2868">
            <v>20</v>
          </cell>
          <cell r="I2868" t="str">
            <v>无目的峰</v>
          </cell>
          <cell r="J2868">
            <v>0.01</v>
          </cell>
          <cell r="K2868">
            <v>2.8299999999999999E-2</v>
          </cell>
          <cell r="L2868" t="str">
            <v>合格</v>
          </cell>
          <cell r="M2868" t="str">
            <v>王丹丹/朱绪涛</v>
          </cell>
          <cell r="N2868" t="str">
            <v>20181218-1-5</v>
          </cell>
          <cell r="Q2868" t="str">
            <v>无目的峰</v>
          </cell>
        </row>
        <row r="2869">
          <cell r="E2869" t="str">
            <v>HFMET181217A2995-17-139</v>
          </cell>
          <cell r="F2869" t="str">
            <v>Meta 58，A04</v>
          </cell>
          <cell r="G2869">
            <v>20</v>
          </cell>
          <cell r="H2869" t="str">
            <v>人粪便</v>
          </cell>
          <cell r="I2869">
            <v>630</v>
          </cell>
          <cell r="J2869">
            <v>12.47</v>
          </cell>
          <cell r="K2869">
            <v>28.16</v>
          </cell>
          <cell r="L2869" t="str">
            <v>合格</v>
          </cell>
          <cell r="M2869" t="str">
            <v>王丹丹/朱绪涛</v>
          </cell>
          <cell r="N2869" t="str">
            <v>20181218-2-29</v>
          </cell>
          <cell r="P2869" t="str">
            <v>Qsep 100</v>
          </cell>
          <cell r="Q2869">
            <v>630</v>
          </cell>
        </row>
        <row r="2870">
          <cell r="E2870" t="str">
            <v>HFMET181217A2996-21-139</v>
          </cell>
          <cell r="F2870" t="str">
            <v>Meta 58，A05</v>
          </cell>
          <cell r="G2870">
            <v>20</v>
          </cell>
          <cell r="H2870" t="str">
            <v>人粪便</v>
          </cell>
          <cell r="I2870">
            <v>603</v>
          </cell>
          <cell r="J2870">
            <v>18</v>
          </cell>
          <cell r="K2870">
            <v>42.24</v>
          </cell>
          <cell r="L2870" t="str">
            <v>合格</v>
          </cell>
          <cell r="M2870" t="str">
            <v>王丹丹/朱绪涛</v>
          </cell>
          <cell r="N2870" t="str">
            <v>20181218-2-30</v>
          </cell>
          <cell r="P2870" t="str">
            <v>Qsep 100</v>
          </cell>
          <cell r="Q2870">
            <v>603</v>
          </cell>
        </row>
        <row r="2871">
          <cell r="E2871" t="str">
            <v>HFMET181217A2997-27-139</v>
          </cell>
          <cell r="F2871" t="str">
            <v>Meta 58，A06</v>
          </cell>
          <cell r="G2871">
            <v>20</v>
          </cell>
          <cell r="H2871" t="str">
            <v>人粪便</v>
          </cell>
          <cell r="I2871">
            <v>613</v>
          </cell>
          <cell r="J2871">
            <v>14.87</v>
          </cell>
          <cell r="K2871">
            <v>34.729999999999997</v>
          </cell>
          <cell r="L2871" t="str">
            <v>合格</v>
          </cell>
          <cell r="M2871" t="str">
            <v>王丹丹/朱绪涛</v>
          </cell>
          <cell r="N2871" t="str">
            <v>20181218-2-31</v>
          </cell>
          <cell r="P2871" t="str">
            <v>Qsep 100</v>
          </cell>
          <cell r="Q2871">
            <v>613</v>
          </cell>
        </row>
        <row r="2872">
          <cell r="E2872" t="str">
            <v>HFMET181217A2998-84-139</v>
          </cell>
          <cell r="F2872" t="str">
            <v>Meta 58，A07</v>
          </cell>
          <cell r="G2872">
            <v>20</v>
          </cell>
          <cell r="H2872" t="str">
            <v>人粪便</v>
          </cell>
          <cell r="I2872">
            <v>591</v>
          </cell>
          <cell r="J2872">
            <v>19.84</v>
          </cell>
          <cell r="K2872">
            <v>46.52</v>
          </cell>
          <cell r="L2872" t="str">
            <v>合格</v>
          </cell>
          <cell r="M2872" t="str">
            <v>王丹丹/朱绪涛</v>
          </cell>
          <cell r="N2872" t="str">
            <v>20181218-2-32</v>
          </cell>
          <cell r="P2872" t="str">
            <v>Qsep 100</v>
          </cell>
          <cell r="Q2872">
            <v>591</v>
          </cell>
        </row>
        <row r="2873">
          <cell r="E2873" t="str">
            <v>HFMET181217A2999-85-139</v>
          </cell>
          <cell r="F2873" t="str">
            <v>Meta 58，A08</v>
          </cell>
          <cell r="G2873">
            <v>20</v>
          </cell>
          <cell r="H2873" t="str">
            <v>人粪便</v>
          </cell>
          <cell r="I2873">
            <v>625</v>
          </cell>
          <cell r="J2873">
            <v>13.94</v>
          </cell>
          <cell r="K2873">
            <v>31.95</v>
          </cell>
          <cell r="L2873" t="str">
            <v>合格</v>
          </cell>
          <cell r="M2873" t="str">
            <v>王丹丹/朱绪涛</v>
          </cell>
          <cell r="N2873" t="str">
            <v>20181218-2-33</v>
          </cell>
          <cell r="P2873" t="str">
            <v>Qsep 100</v>
          </cell>
          <cell r="Q2873">
            <v>625</v>
          </cell>
        </row>
        <row r="2874">
          <cell r="E2874" t="str">
            <v>HFMET181217A3000-86-139</v>
          </cell>
          <cell r="F2874" t="str">
            <v>Meta 58，A09</v>
          </cell>
          <cell r="G2874">
            <v>20</v>
          </cell>
          <cell r="H2874" t="str">
            <v>人粪便</v>
          </cell>
          <cell r="I2874">
            <v>633</v>
          </cell>
          <cell r="J2874">
            <v>10.58</v>
          </cell>
          <cell r="K2874">
            <v>23.67</v>
          </cell>
          <cell r="L2874" t="str">
            <v>合格</v>
          </cell>
          <cell r="M2874" t="str">
            <v>王丹丹/朱绪涛</v>
          </cell>
          <cell r="N2874" t="str">
            <v>20181218-2-34</v>
          </cell>
          <cell r="P2874" t="str">
            <v>Qsep 100</v>
          </cell>
          <cell r="Q2874">
            <v>633</v>
          </cell>
        </row>
        <row r="2875">
          <cell r="E2875" t="str">
            <v>HFMET181217A3001-87-139</v>
          </cell>
          <cell r="F2875" t="str">
            <v>Meta 58，A10</v>
          </cell>
          <cell r="G2875">
            <v>20</v>
          </cell>
          <cell r="H2875" t="str">
            <v>人粪便</v>
          </cell>
          <cell r="I2875">
            <v>618</v>
          </cell>
          <cell r="J2875">
            <v>13.61</v>
          </cell>
          <cell r="K2875">
            <v>31.13</v>
          </cell>
          <cell r="L2875" t="str">
            <v>合格</v>
          </cell>
          <cell r="M2875" t="str">
            <v>王丹丹/朱绪涛</v>
          </cell>
          <cell r="N2875" t="str">
            <v>20181218-2-35</v>
          </cell>
          <cell r="P2875" t="str">
            <v>Qsep 100</v>
          </cell>
          <cell r="Q2875">
            <v>618</v>
          </cell>
        </row>
        <row r="2876">
          <cell r="E2876" t="str">
            <v>HFMET181217A3002-88-139</v>
          </cell>
          <cell r="F2876" t="str">
            <v>Meta 58，A11</v>
          </cell>
          <cell r="G2876">
            <v>20</v>
          </cell>
          <cell r="H2876" t="str">
            <v>人粪便</v>
          </cell>
          <cell r="I2876">
            <v>608</v>
          </cell>
          <cell r="J2876">
            <v>15.92</v>
          </cell>
          <cell r="K2876">
            <v>37.119999999999997</v>
          </cell>
          <cell r="L2876" t="str">
            <v>合格</v>
          </cell>
          <cell r="M2876" t="str">
            <v>王丹丹/朱绪涛</v>
          </cell>
          <cell r="N2876" t="str">
            <v>20181218-2-36</v>
          </cell>
          <cell r="P2876" t="str">
            <v>Qsep 100</v>
          </cell>
          <cell r="Q2876">
            <v>608</v>
          </cell>
        </row>
        <row r="2877">
          <cell r="E2877" t="str">
            <v>HFMET181217A3003-17-140</v>
          </cell>
          <cell r="F2877" t="str">
            <v>Meta 58，A12</v>
          </cell>
          <cell r="G2877">
            <v>20</v>
          </cell>
          <cell r="H2877" t="str">
            <v>人粪便</v>
          </cell>
          <cell r="I2877">
            <v>622</v>
          </cell>
          <cell r="J2877">
            <v>12.34</v>
          </cell>
          <cell r="K2877">
            <v>28.14</v>
          </cell>
          <cell r="L2877" t="str">
            <v>合格</v>
          </cell>
          <cell r="M2877" t="str">
            <v>王丹丹/朱绪涛</v>
          </cell>
          <cell r="N2877" t="str">
            <v>20181218-2-37</v>
          </cell>
          <cell r="P2877" t="str">
            <v>Qsep 100</v>
          </cell>
          <cell r="Q2877">
            <v>622</v>
          </cell>
        </row>
        <row r="2878">
          <cell r="E2878" t="str">
            <v>HFMET181217A3004-21-140</v>
          </cell>
          <cell r="F2878" t="str">
            <v>Meta 58，B01</v>
          </cell>
          <cell r="G2878">
            <v>20</v>
          </cell>
          <cell r="H2878" t="str">
            <v>人粪便</v>
          </cell>
          <cell r="I2878">
            <v>630</v>
          </cell>
          <cell r="J2878">
            <v>9.48</v>
          </cell>
          <cell r="K2878">
            <v>21.46</v>
          </cell>
          <cell r="L2878" t="str">
            <v>合格</v>
          </cell>
          <cell r="M2878" t="str">
            <v>王丹丹/朱绪涛</v>
          </cell>
          <cell r="N2878" t="str">
            <v>20181218-2-38</v>
          </cell>
          <cell r="P2878" t="str">
            <v>Qsep 100</v>
          </cell>
          <cell r="Q2878">
            <v>630</v>
          </cell>
        </row>
        <row r="2879">
          <cell r="E2879" t="str">
            <v>HFMET181217A3005-27-140</v>
          </cell>
          <cell r="F2879" t="str">
            <v>Meta 58，B02</v>
          </cell>
          <cell r="G2879">
            <v>20</v>
          </cell>
          <cell r="H2879" t="str">
            <v>人粪便</v>
          </cell>
          <cell r="I2879">
            <v>634</v>
          </cell>
          <cell r="J2879">
            <v>11.9</v>
          </cell>
          <cell r="K2879">
            <v>26.52</v>
          </cell>
          <cell r="L2879" t="str">
            <v>合格</v>
          </cell>
          <cell r="M2879" t="str">
            <v>王丹丹/朱绪涛</v>
          </cell>
          <cell r="N2879" t="str">
            <v>20181218-2-39</v>
          </cell>
          <cell r="P2879" t="str">
            <v>Qsep 100</v>
          </cell>
          <cell r="Q2879">
            <v>634</v>
          </cell>
        </row>
        <row r="2880">
          <cell r="E2880" t="str">
            <v>HFMET181217A3006-84-140</v>
          </cell>
          <cell r="F2880" t="str">
            <v>Meta 58，B03</v>
          </cell>
          <cell r="G2880">
            <v>20</v>
          </cell>
          <cell r="H2880" t="str">
            <v>人粪便</v>
          </cell>
          <cell r="I2880">
            <v>620</v>
          </cell>
          <cell r="J2880">
            <v>14.11</v>
          </cell>
          <cell r="K2880">
            <v>32.51</v>
          </cell>
          <cell r="L2880" t="str">
            <v>合格</v>
          </cell>
          <cell r="M2880" t="str">
            <v>王丹丹/朱绪涛</v>
          </cell>
          <cell r="N2880" t="str">
            <v>20181218-2-40</v>
          </cell>
          <cell r="P2880" t="str">
            <v>Qsep 100</v>
          </cell>
          <cell r="Q2880">
            <v>620</v>
          </cell>
        </row>
        <row r="2881">
          <cell r="E2881" t="str">
            <v>NTC1-21-140</v>
          </cell>
          <cell r="F2881" t="str">
            <v>Meta 58，B04</v>
          </cell>
          <cell r="G2881">
            <v>20</v>
          </cell>
          <cell r="I2881" t="str">
            <v>无目的峰</v>
          </cell>
          <cell r="J2881">
            <v>0.03</v>
          </cell>
          <cell r="K2881">
            <v>8.4900000000000003E-2</v>
          </cell>
          <cell r="L2881" t="str">
            <v>合格</v>
          </cell>
          <cell r="M2881" t="str">
            <v>王丹丹/朱绪涛</v>
          </cell>
          <cell r="N2881" t="str">
            <v>20181218-2-41</v>
          </cell>
          <cell r="Q2881" t="str">
            <v>无目的峰</v>
          </cell>
        </row>
        <row r="2882">
          <cell r="E2882" t="str">
            <v>NTC2-27-140</v>
          </cell>
          <cell r="F2882" t="str">
            <v>Meta 58，B05</v>
          </cell>
          <cell r="G2882">
            <v>20</v>
          </cell>
          <cell r="I2882" t="str">
            <v>无目的峰</v>
          </cell>
          <cell r="J2882">
            <v>0.01</v>
          </cell>
          <cell r="K2882">
            <v>0.02</v>
          </cell>
          <cell r="L2882" t="str">
            <v>合格</v>
          </cell>
          <cell r="M2882" t="str">
            <v>王丹丹/朱绪涛</v>
          </cell>
          <cell r="N2882" t="str">
            <v>20181218-2-42</v>
          </cell>
          <cell r="Q2882" t="str">
            <v>无目的峰</v>
          </cell>
        </row>
        <row r="2883">
          <cell r="E2883" t="str">
            <v>NTC3-84-140</v>
          </cell>
          <cell r="F2883" t="str">
            <v>Meta 58，B06</v>
          </cell>
          <cell r="G2883">
            <v>20</v>
          </cell>
          <cell r="I2883" t="str">
            <v>无目的峰</v>
          </cell>
          <cell r="J2883">
            <v>0.08</v>
          </cell>
          <cell r="K2883">
            <v>0.18</v>
          </cell>
          <cell r="L2883" t="str">
            <v>合格</v>
          </cell>
          <cell r="M2883" t="str">
            <v>王丹丹/朱绪涛</v>
          </cell>
          <cell r="N2883" t="str">
            <v>20181218-2-43</v>
          </cell>
          <cell r="Q2883" t="str">
            <v>无目的峰</v>
          </cell>
        </row>
        <row r="2884">
          <cell r="E2884" t="str">
            <v>HFMET181219B3011-104-129</v>
          </cell>
          <cell r="F2884" t="str">
            <v>Meta 58，B12</v>
          </cell>
          <cell r="G2884">
            <v>20</v>
          </cell>
          <cell r="H2884" t="str">
            <v>鸭肠道微生物</v>
          </cell>
          <cell r="I2884" t="str">
            <v>无目的峰</v>
          </cell>
          <cell r="J2884">
            <v>0</v>
          </cell>
          <cell r="K2884">
            <v>0</v>
          </cell>
          <cell r="L2884" t="str">
            <v>不合格</v>
          </cell>
          <cell r="M2884" t="str">
            <v>王丹丹/范晓江</v>
          </cell>
          <cell r="N2884" t="str">
            <v>20181220-2-1</v>
          </cell>
          <cell r="Q2884" t="str">
            <v>无目的峰</v>
          </cell>
          <cell r="R2884">
            <v>0</v>
          </cell>
        </row>
        <row r="2885">
          <cell r="E2885" t="str">
            <v>HFMET181219B3012-108-129</v>
          </cell>
          <cell r="F2885" t="str">
            <v>Meta 58，C01</v>
          </cell>
          <cell r="G2885">
            <v>20</v>
          </cell>
          <cell r="H2885" t="str">
            <v>鸭肠道微生物</v>
          </cell>
          <cell r="I2885">
            <v>632</v>
          </cell>
          <cell r="J2885" t="str">
            <v>0.99</v>
          </cell>
          <cell r="K2885" t="str">
            <v>2.33</v>
          </cell>
          <cell r="L2885" t="str">
            <v>不合格</v>
          </cell>
          <cell r="M2885" t="str">
            <v>王丹丹/范晓江</v>
          </cell>
          <cell r="N2885" t="str">
            <v>20181220-2-2</v>
          </cell>
          <cell r="Q2885">
            <v>632</v>
          </cell>
          <cell r="R2885">
            <v>1.1385000000000001</v>
          </cell>
        </row>
        <row r="2886">
          <cell r="E2886" t="str">
            <v>HFMET181219B3013-106-135</v>
          </cell>
          <cell r="F2886" t="str">
            <v>Meta 58，C02</v>
          </cell>
          <cell r="G2886">
            <v>20</v>
          </cell>
          <cell r="H2886" t="str">
            <v>鸭肠道微生物</v>
          </cell>
          <cell r="I2886">
            <v>614</v>
          </cell>
          <cell r="J2886" t="str">
            <v>1.24</v>
          </cell>
          <cell r="K2886" t="str">
            <v>2.95</v>
          </cell>
          <cell r="L2886" t="str">
            <v>合格</v>
          </cell>
          <cell r="M2886" t="str">
            <v>王丹丹/范晓江</v>
          </cell>
          <cell r="N2886" t="str">
            <v>20181220-2-3</v>
          </cell>
          <cell r="Q2886">
            <v>614</v>
          </cell>
          <cell r="R2886">
            <v>1.4259999999999999</v>
          </cell>
        </row>
        <row r="2887">
          <cell r="E2887" t="str">
            <v>HFMET181219B3022-107-141</v>
          </cell>
          <cell r="F2887" t="str">
            <v>Meta 58，C11</v>
          </cell>
          <cell r="G2887">
            <v>20</v>
          </cell>
          <cell r="H2887" t="str">
            <v>鸭盲肠微生物</v>
          </cell>
          <cell r="I2887">
            <v>598</v>
          </cell>
          <cell r="J2887" t="str">
            <v>34.77</v>
          </cell>
          <cell r="K2887" t="str">
            <v>79.86</v>
          </cell>
          <cell r="L2887" t="str">
            <v>合格</v>
          </cell>
          <cell r="M2887" t="str">
            <v>王丹丹/范晓江</v>
          </cell>
          <cell r="N2887" t="str">
            <v>20181220-2-4</v>
          </cell>
          <cell r="Q2887">
            <v>598</v>
          </cell>
          <cell r="R2887">
            <v>39.985500000000002</v>
          </cell>
        </row>
        <row r="2888">
          <cell r="E2888" t="str">
            <v>HFMET181219A3014-1-141</v>
          </cell>
          <cell r="F2888" t="str">
            <v>Meta 58，C03</v>
          </cell>
          <cell r="G2888">
            <v>20</v>
          </cell>
          <cell r="H2888" t="str">
            <v>人粪便</v>
          </cell>
          <cell r="I2888">
            <v>576</v>
          </cell>
          <cell r="J2888">
            <v>18.98</v>
          </cell>
          <cell r="K2888">
            <v>46.25</v>
          </cell>
          <cell r="L2888" t="str">
            <v>合格</v>
          </cell>
          <cell r="M2888" t="str">
            <v>王丹丹/范晓江</v>
          </cell>
          <cell r="N2888" t="str">
            <v>20181220-2-5</v>
          </cell>
          <cell r="Q2888">
            <v>576</v>
          </cell>
          <cell r="R2888">
            <v>21.827000000000002</v>
          </cell>
        </row>
        <row r="2889">
          <cell r="E2889" t="str">
            <v>HFMET181219A3015-16-141</v>
          </cell>
          <cell r="F2889" t="str">
            <v>Meta 58，C04</v>
          </cell>
          <cell r="G2889">
            <v>20</v>
          </cell>
          <cell r="H2889" t="str">
            <v>人粪便</v>
          </cell>
          <cell r="I2889">
            <v>558</v>
          </cell>
          <cell r="J2889">
            <v>28.66</v>
          </cell>
          <cell r="K2889">
            <v>72.010000000000005</v>
          </cell>
          <cell r="L2889" t="str">
            <v>合格</v>
          </cell>
          <cell r="M2889" t="str">
            <v>王丹丹/范晓江</v>
          </cell>
          <cell r="N2889" t="str">
            <v>20181220-2-6</v>
          </cell>
          <cell r="Q2889">
            <v>558</v>
          </cell>
          <cell r="R2889">
            <v>32.959000000000003</v>
          </cell>
        </row>
        <row r="2890">
          <cell r="E2890" t="str">
            <v>HFMET181219A3016-17-141</v>
          </cell>
          <cell r="F2890" t="str">
            <v>Meta 58，C05</v>
          </cell>
          <cell r="G2890">
            <v>20</v>
          </cell>
          <cell r="H2890" t="str">
            <v>人粪便</v>
          </cell>
          <cell r="I2890">
            <v>605</v>
          </cell>
          <cell r="J2890">
            <v>16.73</v>
          </cell>
          <cell r="K2890" t="str">
            <v xml:space="preserve">   </v>
          </cell>
          <cell r="L2890" t="str">
            <v>合格</v>
          </cell>
          <cell r="M2890" t="str">
            <v>王丹丹/范晓江</v>
          </cell>
          <cell r="N2890" t="str">
            <v>20181220-2-7</v>
          </cell>
          <cell r="Q2890">
            <v>605</v>
          </cell>
          <cell r="R2890">
            <v>19.2395</v>
          </cell>
        </row>
        <row r="2891">
          <cell r="E2891" t="str">
            <v>HFMET181219A3017-21-141</v>
          </cell>
          <cell r="F2891" t="str">
            <v>Meta 58，C06</v>
          </cell>
          <cell r="G2891">
            <v>20</v>
          </cell>
          <cell r="H2891" t="str">
            <v>人粪便</v>
          </cell>
          <cell r="I2891">
            <v>584</v>
          </cell>
          <cell r="J2891">
            <v>15.78</v>
          </cell>
          <cell r="K2891">
            <v>38.020000000000003</v>
          </cell>
          <cell r="L2891" t="str">
            <v>合格</v>
          </cell>
          <cell r="M2891" t="str">
            <v>王丹丹/范晓江</v>
          </cell>
          <cell r="N2891" t="str">
            <v>20181220-2-8</v>
          </cell>
          <cell r="Q2891">
            <v>584</v>
          </cell>
          <cell r="R2891">
            <v>18.146999999999998</v>
          </cell>
        </row>
        <row r="2892">
          <cell r="E2892" t="str">
            <v>HFMET181219A3018-27-141</v>
          </cell>
          <cell r="F2892" t="str">
            <v>Meta 58，C07</v>
          </cell>
          <cell r="G2892">
            <v>20</v>
          </cell>
          <cell r="H2892" t="str">
            <v>人粪便</v>
          </cell>
          <cell r="I2892">
            <v>566</v>
          </cell>
          <cell r="J2892">
            <v>27.22</v>
          </cell>
          <cell r="K2892">
            <v>66.17</v>
          </cell>
          <cell r="L2892" t="str">
            <v>合格</v>
          </cell>
          <cell r="M2892" t="str">
            <v>王丹丹/范晓江</v>
          </cell>
          <cell r="N2892" t="str">
            <v>20181220-2-9</v>
          </cell>
          <cell r="Q2892">
            <v>566</v>
          </cell>
          <cell r="R2892">
            <v>31.303000000000001</v>
          </cell>
        </row>
        <row r="2893">
          <cell r="E2893" t="str">
            <v>HFMET181219A3019-84-141</v>
          </cell>
          <cell r="F2893" t="str">
            <v>Meta 58，C08</v>
          </cell>
          <cell r="G2893">
            <v>20</v>
          </cell>
          <cell r="H2893" t="str">
            <v>人粪便</v>
          </cell>
          <cell r="I2893">
            <v>562</v>
          </cell>
          <cell r="J2893">
            <v>47.73</v>
          </cell>
          <cell r="K2893">
            <v>121.35</v>
          </cell>
          <cell r="L2893" t="str">
            <v>合格</v>
          </cell>
          <cell r="M2893" t="str">
            <v>王丹丹/范晓江</v>
          </cell>
          <cell r="N2893" t="str">
            <v>20181220-2-10</v>
          </cell>
          <cell r="Q2893">
            <v>562</v>
          </cell>
          <cell r="R2893">
            <v>54.889499999999998</v>
          </cell>
        </row>
        <row r="2894">
          <cell r="E2894" t="str">
            <v>HFMET181219A3020-85-141</v>
          </cell>
          <cell r="F2894" t="str">
            <v>Meta 58，C09</v>
          </cell>
          <cell r="G2894">
            <v>20</v>
          </cell>
          <cell r="H2894" t="str">
            <v>人粪便</v>
          </cell>
          <cell r="I2894">
            <v>607</v>
          </cell>
          <cell r="J2894">
            <v>18.75</v>
          </cell>
          <cell r="K2894">
            <v>43.83</v>
          </cell>
          <cell r="L2894" t="str">
            <v>合格</v>
          </cell>
          <cell r="M2894" t="str">
            <v>王丹丹/范晓江</v>
          </cell>
          <cell r="N2894" t="str">
            <v>20181220-2-11</v>
          </cell>
          <cell r="Q2894">
            <v>607</v>
          </cell>
          <cell r="R2894">
            <v>21.5625</v>
          </cell>
        </row>
        <row r="2895">
          <cell r="E2895" t="str">
            <v>HFMET181219A3021-86-141</v>
          </cell>
          <cell r="F2895" t="str">
            <v>Meta 58，C10</v>
          </cell>
          <cell r="G2895">
            <v>20</v>
          </cell>
          <cell r="H2895" t="str">
            <v>人粪便</v>
          </cell>
          <cell r="I2895">
            <v>579</v>
          </cell>
          <cell r="J2895">
            <v>31.01</v>
          </cell>
          <cell r="K2895">
            <v>74.599999999999994</v>
          </cell>
          <cell r="L2895" t="str">
            <v>合格</v>
          </cell>
          <cell r="M2895" t="str">
            <v>王丹丹/范晓江</v>
          </cell>
          <cell r="N2895" t="str">
            <v>20181220-2-12</v>
          </cell>
          <cell r="Q2895">
            <v>579</v>
          </cell>
          <cell r="R2895">
            <v>35.661499999999997</v>
          </cell>
        </row>
        <row r="2896">
          <cell r="E2896" t="str">
            <v>NTC1-104-129</v>
          </cell>
          <cell r="F2896" t="str">
            <v>Meta 58，D01</v>
          </cell>
          <cell r="G2896">
            <v>20</v>
          </cell>
          <cell r="I2896" t="str">
            <v>无目的峰</v>
          </cell>
          <cell r="J2896" t="str">
            <v>0.02</v>
          </cell>
          <cell r="K2896" t="str">
            <v>0.05</v>
          </cell>
          <cell r="L2896" t="str">
            <v>合格</v>
          </cell>
          <cell r="M2896" t="str">
            <v>王丹丹/范晓江</v>
          </cell>
          <cell r="N2896" t="str">
            <v>20181220-2-13</v>
          </cell>
          <cell r="Q2896" t="str">
            <v>无目的峰</v>
          </cell>
          <cell r="R2896">
            <v>2.3E-2</v>
          </cell>
        </row>
        <row r="2897">
          <cell r="E2897" t="str">
            <v>NTC2-106-135</v>
          </cell>
          <cell r="F2897" t="str">
            <v>Meta 58，D02</v>
          </cell>
          <cell r="G2897">
            <v>20</v>
          </cell>
          <cell r="I2897" t="str">
            <v>无目的峰</v>
          </cell>
          <cell r="J2897" t="str">
            <v>0.02</v>
          </cell>
          <cell r="K2897" t="str">
            <v>0.04</v>
          </cell>
          <cell r="L2897" t="str">
            <v>合格</v>
          </cell>
          <cell r="M2897" t="str">
            <v>王丹丹/范晓江</v>
          </cell>
          <cell r="N2897" t="str">
            <v>20181220-2-14</v>
          </cell>
          <cell r="Q2897" t="str">
            <v>无目的峰</v>
          </cell>
          <cell r="R2897">
            <v>2.3E-2</v>
          </cell>
        </row>
        <row r="2898">
          <cell r="E2898" t="str">
            <v>HFMET181219B3023-59-83</v>
          </cell>
          <cell r="F2898" t="str">
            <v>Meta 58，C12</v>
          </cell>
          <cell r="G2898">
            <v>20</v>
          </cell>
          <cell r="H2898" t="str">
            <v>环境微生物</v>
          </cell>
          <cell r="I2898">
            <v>573</v>
          </cell>
          <cell r="J2898">
            <v>0.35</v>
          </cell>
          <cell r="K2898">
            <v>0.93</v>
          </cell>
          <cell r="L2898" t="str">
            <v>不合格</v>
          </cell>
          <cell r="M2898" t="str">
            <v>王丹丹/范晓江</v>
          </cell>
          <cell r="N2898" t="str">
            <v>20181220-2-15</v>
          </cell>
          <cell r="Q2898">
            <v>573</v>
          </cell>
          <cell r="R2898">
            <v>0.40250000000000002</v>
          </cell>
        </row>
        <row r="2899">
          <cell r="E2899" t="str">
            <v>NTC3-59-83</v>
          </cell>
          <cell r="F2899" t="str">
            <v>Meta 58，D3</v>
          </cell>
          <cell r="G2899">
            <v>20</v>
          </cell>
          <cell r="I2899">
            <v>580</v>
          </cell>
          <cell r="J2899">
            <v>0.25</v>
          </cell>
          <cell r="K2899">
            <v>0.65</v>
          </cell>
          <cell r="L2899" t="str">
            <v>不合格</v>
          </cell>
          <cell r="M2899" t="str">
            <v>王丹丹/范晓江</v>
          </cell>
          <cell r="N2899" t="str">
            <v>20181220-2-16</v>
          </cell>
          <cell r="Q2899">
            <v>580</v>
          </cell>
          <cell r="R2899">
            <v>0.28749999999999998</v>
          </cell>
        </row>
        <row r="2900">
          <cell r="E2900" t="str">
            <v>HFMET181226A3024-87-138</v>
          </cell>
          <cell r="F2900" t="str">
            <v>Meta 58，D04</v>
          </cell>
          <cell r="G2900">
            <v>20</v>
          </cell>
          <cell r="H2900" t="str">
            <v>大鼠粪便</v>
          </cell>
          <cell r="I2900">
            <v>603</v>
          </cell>
          <cell r="J2900">
            <v>22.74</v>
          </cell>
          <cell r="K2900">
            <v>53.18</v>
          </cell>
          <cell r="L2900" t="str">
            <v>合格</v>
          </cell>
          <cell r="M2900" t="str">
            <v>孙家孟</v>
          </cell>
          <cell r="N2900" t="str">
            <v>20181229002-1</v>
          </cell>
          <cell r="Q2900">
            <v>603</v>
          </cell>
          <cell r="R2900">
            <v>19.328999999999997</v>
          </cell>
        </row>
        <row r="2901">
          <cell r="E2901" t="str">
            <v>HFMET181226A3025-88-138</v>
          </cell>
          <cell r="F2901" t="str">
            <v>Meta 58，D05</v>
          </cell>
          <cell r="G2901">
            <v>20</v>
          </cell>
          <cell r="H2901" t="str">
            <v>大鼠粪便</v>
          </cell>
          <cell r="I2901">
            <v>621</v>
          </cell>
          <cell r="J2901">
            <v>17.940000000000001</v>
          </cell>
          <cell r="K2901">
            <v>41.24</v>
          </cell>
          <cell r="L2901" t="str">
            <v>合格</v>
          </cell>
          <cell r="M2901" t="str">
            <v>孙家孟</v>
          </cell>
          <cell r="N2901" t="str">
            <v>20181229002-2</v>
          </cell>
          <cell r="Q2901">
            <v>621</v>
          </cell>
          <cell r="R2901">
            <v>15.249000000000001</v>
          </cell>
        </row>
        <row r="2902">
          <cell r="E2902" t="str">
            <v>HFMET181226A3026-89-138</v>
          </cell>
          <cell r="F2902" t="str">
            <v>Meta 58，D06</v>
          </cell>
          <cell r="G2902">
            <v>20</v>
          </cell>
          <cell r="H2902" t="str">
            <v>大鼠粪便</v>
          </cell>
          <cell r="I2902">
            <v>585</v>
          </cell>
          <cell r="J2902">
            <v>24.72</v>
          </cell>
          <cell r="K2902">
            <v>59.42</v>
          </cell>
          <cell r="L2902" t="str">
            <v>合格</v>
          </cell>
          <cell r="M2902" t="str">
            <v>孙家孟</v>
          </cell>
          <cell r="N2902" t="str">
            <v>20181229002-3</v>
          </cell>
          <cell r="Q2902">
            <v>585</v>
          </cell>
          <cell r="R2902">
            <v>21.011999999999997</v>
          </cell>
        </row>
        <row r="2903">
          <cell r="E2903" t="str">
            <v>HFMET181226A3027-90-138</v>
          </cell>
          <cell r="F2903" t="str">
            <v>Meta 58，D07</v>
          </cell>
          <cell r="G2903">
            <v>20</v>
          </cell>
          <cell r="H2903" t="str">
            <v>大鼠粪便</v>
          </cell>
          <cell r="I2903">
            <v>600</v>
          </cell>
          <cell r="J2903">
            <v>21.4</v>
          </cell>
          <cell r="K2903">
            <v>50.7</v>
          </cell>
          <cell r="L2903" t="str">
            <v>合格</v>
          </cell>
          <cell r="M2903" t="str">
            <v>孙家孟</v>
          </cell>
          <cell r="N2903" t="str">
            <v>20181229002-4</v>
          </cell>
          <cell r="Q2903">
            <v>600</v>
          </cell>
          <cell r="R2903">
            <v>18.189999999999998</v>
          </cell>
        </row>
        <row r="2904">
          <cell r="E2904" t="str">
            <v>HFMET181226A3028-91-138</v>
          </cell>
          <cell r="F2904" t="str">
            <v>Meta 58，D08</v>
          </cell>
          <cell r="G2904">
            <v>20</v>
          </cell>
          <cell r="H2904" t="str">
            <v>大鼠粪便</v>
          </cell>
          <cell r="I2904">
            <v>595</v>
          </cell>
          <cell r="J2904">
            <v>28.4</v>
          </cell>
          <cell r="K2904">
            <v>65.98</v>
          </cell>
          <cell r="L2904" t="str">
            <v>合格</v>
          </cell>
          <cell r="M2904" t="str">
            <v>孙家孟</v>
          </cell>
          <cell r="N2904" t="str">
            <v>20181229002-5</v>
          </cell>
          <cell r="Q2904">
            <v>595</v>
          </cell>
          <cell r="R2904">
            <v>24.139999999999997</v>
          </cell>
        </row>
        <row r="2905">
          <cell r="E2905" t="str">
            <v>HFMET181226A3029-92-138</v>
          </cell>
          <cell r="F2905" t="str">
            <v>Meta 58，D09</v>
          </cell>
          <cell r="G2905">
            <v>20</v>
          </cell>
          <cell r="H2905" t="str">
            <v>大鼠粪便</v>
          </cell>
          <cell r="I2905">
            <v>565</v>
          </cell>
          <cell r="J2905">
            <v>31.74</v>
          </cell>
          <cell r="K2905">
            <v>78.349999999999994</v>
          </cell>
          <cell r="L2905" t="str">
            <v>合格</v>
          </cell>
          <cell r="M2905" t="str">
            <v>孙家孟</v>
          </cell>
          <cell r="N2905" t="str">
            <v>20181229002-6</v>
          </cell>
          <cell r="Q2905">
            <v>565</v>
          </cell>
          <cell r="R2905">
            <v>26.978999999999999</v>
          </cell>
        </row>
        <row r="2906">
          <cell r="E2906" t="str">
            <v>HFMET181226A3030-93-138</v>
          </cell>
          <cell r="F2906" t="str">
            <v>Meta 58，D10</v>
          </cell>
          <cell r="G2906">
            <v>20</v>
          </cell>
          <cell r="H2906" t="str">
            <v>大鼠粪便</v>
          </cell>
          <cell r="I2906">
            <v>605</v>
          </cell>
          <cell r="J2906">
            <v>22.26</v>
          </cell>
          <cell r="K2906">
            <v>51.24</v>
          </cell>
          <cell r="L2906" t="str">
            <v>合格</v>
          </cell>
          <cell r="M2906" t="str">
            <v>孙家孟</v>
          </cell>
          <cell r="N2906" t="str">
            <v>20181229002-7</v>
          </cell>
          <cell r="Q2906">
            <v>605</v>
          </cell>
          <cell r="R2906">
            <v>18.920999999999999</v>
          </cell>
        </row>
        <row r="2907">
          <cell r="E2907" t="str">
            <v>HFMET181226A3031-94-138</v>
          </cell>
          <cell r="F2907" t="str">
            <v>Meta 58，D11</v>
          </cell>
          <cell r="G2907">
            <v>20</v>
          </cell>
          <cell r="H2907" t="str">
            <v>大鼠粪便</v>
          </cell>
          <cell r="I2907">
            <v>586</v>
          </cell>
          <cell r="J2907">
            <v>30.54</v>
          </cell>
          <cell r="K2907">
            <v>72.709999999999994</v>
          </cell>
          <cell r="L2907" t="str">
            <v>合格</v>
          </cell>
          <cell r="M2907" t="str">
            <v>孙家孟</v>
          </cell>
          <cell r="N2907" t="str">
            <v>20181229002-8</v>
          </cell>
          <cell r="Q2907">
            <v>586</v>
          </cell>
          <cell r="R2907">
            <v>25.959</v>
          </cell>
        </row>
        <row r="2908">
          <cell r="E2908" t="str">
            <v>HFMET181226A3032-87-141</v>
          </cell>
          <cell r="F2908" t="str">
            <v>Meta 58，D12</v>
          </cell>
          <cell r="G2908">
            <v>20</v>
          </cell>
          <cell r="H2908" t="str">
            <v>大鼠粪便</v>
          </cell>
          <cell r="I2908">
            <v>621</v>
          </cell>
          <cell r="J2908">
            <v>16.510000000000002</v>
          </cell>
          <cell r="K2908">
            <v>38.380000000000003</v>
          </cell>
          <cell r="L2908" t="str">
            <v>合格</v>
          </cell>
          <cell r="M2908" t="str">
            <v>孙家孟</v>
          </cell>
          <cell r="N2908" t="str">
            <v>20181229002-9</v>
          </cell>
          <cell r="Q2908">
            <v>621</v>
          </cell>
          <cell r="R2908">
            <v>14.0335</v>
          </cell>
        </row>
        <row r="2909">
          <cell r="E2909" t="str">
            <v>HFMET181226A3033-88-141</v>
          </cell>
          <cell r="F2909" t="str">
            <v>Meta 58，E01</v>
          </cell>
          <cell r="G2909">
            <v>20</v>
          </cell>
          <cell r="H2909" t="str">
            <v>大鼠粪便</v>
          </cell>
          <cell r="I2909">
            <v>623</v>
          </cell>
          <cell r="J2909">
            <v>19.36</v>
          </cell>
          <cell r="K2909">
            <v>44.95</v>
          </cell>
          <cell r="L2909" t="str">
            <v>合格</v>
          </cell>
          <cell r="M2909" t="str">
            <v>孙家孟</v>
          </cell>
          <cell r="N2909" t="str">
            <v>20181229002-10</v>
          </cell>
          <cell r="Q2909">
            <v>623</v>
          </cell>
          <cell r="R2909">
            <v>16.456</v>
          </cell>
        </row>
        <row r="2910">
          <cell r="E2910" t="str">
            <v>HFMET181226A3034-89-141</v>
          </cell>
          <cell r="F2910" t="str">
            <v>Meta 58，E02</v>
          </cell>
          <cell r="G2910">
            <v>20</v>
          </cell>
          <cell r="H2910" t="str">
            <v>大鼠粪便</v>
          </cell>
          <cell r="I2910">
            <v>565</v>
          </cell>
          <cell r="J2910">
            <v>47.37</v>
          </cell>
          <cell r="K2910">
            <v>113.51</v>
          </cell>
          <cell r="L2910" t="str">
            <v>合格</v>
          </cell>
          <cell r="M2910" t="str">
            <v>孙家孟</v>
          </cell>
          <cell r="N2910" t="str">
            <v>20181229002-11</v>
          </cell>
          <cell r="Q2910">
            <v>565</v>
          </cell>
          <cell r="R2910">
            <v>40.264499999999998</v>
          </cell>
        </row>
        <row r="2911">
          <cell r="E2911" t="str">
            <v>HFMET181226A3035-90-141</v>
          </cell>
          <cell r="F2911" t="str">
            <v>Meta 58，E03</v>
          </cell>
          <cell r="G2911">
            <v>20</v>
          </cell>
          <cell r="H2911" t="str">
            <v>大鼠粪便</v>
          </cell>
          <cell r="I2911">
            <v>595</v>
          </cell>
          <cell r="J2911">
            <v>30.02</v>
          </cell>
          <cell r="K2911">
            <v>70.48</v>
          </cell>
          <cell r="L2911" t="str">
            <v>合格</v>
          </cell>
          <cell r="M2911" t="str">
            <v>孙家孟</v>
          </cell>
          <cell r="N2911" t="str">
            <v>20181229002-12</v>
          </cell>
          <cell r="Q2911">
            <v>595</v>
          </cell>
          <cell r="R2911">
            <v>25.516999999999999</v>
          </cell>
        </row>
        <row r="2912">
          <cell r="E2912" t="str">
            <v>HFMET181226A3036-91-141</v>
          </cell>
          <cell r="F2912" t="str">
            <v>Meta 58，E04</v>
          </cell>
          <cell r="G2912">
            <v>20</v>
          </cell>
          <cell r="H2912" t="str">
            <v>大鼠粪便</v>
          </cell>
          <cell r="I2912">
            <v>575</v>
          </cell>
          <cell r="J2912">
            <v>40.22</v>
          </cell>
          <cell r="K2912">
            <v>96.35</v>
          </cell>
          <cell r="L2912" t="str">
            <v>合格</v>
          </cell>
          <cell r="M2912" t="str">
            <v>孙家孟</v>
          </cell>
          <cell r="N2912" t="str">
            <v>20181229002-13</v>
          </cell>
          <cell r="Q2912">
            <v>575</v>
          </cell>
          <cell r="R2912">
            <v>34.186999999999998</v>
          </cell>
        </row>
        <row r="2913">
          <cell r="E2913" t="str">
            <v>HFMET181226A3037-92-141</v>
          </cell>
          <cell r="F2913" t="str">
            <v>Meta 58，E05</v>
          </cell>
          <cell r="G2913">
            <v>20</v>
          </cell>
          <cell r="H2913" t="str">
            <v>大鼠粪便</v>
          </cell>
          <cell r="I2913">
            <v>606</v>
          </cell>
          <cell r="J2913">
            <v>29.77</v>
          </cell>
          <cell r="K2913">
            <v>68.540000000000006</v>
          </cell>
          <cell r="L2913" t="str">
            <v>合格</v>
          </cell>
          <cell r="M2913" t="str">
            <v>孙家孟</v>
          </cell>
          <cell r="N2913" t="str">
            <v>20181229002-14</v>
          </cell>
          <cell r="Q2913">
            <v>606</v>
          </cell>
          <cell r="R2913">
            <v>25.304499999999997</v>
          </cell>
        </row>
        <row r="2914">
          <cell r="E2914" t="str">
            <v>HFMET181226A3038-93-141</v>
          </cell>
          <cell r="F2914" t="str">
            <v>Meta 58，E06</v>
          </cell>
          <cell r="G2914">
            <v>20</v>
          </cell>
          <cell r="H2914" t="str">
            <v>大鼠粪便</v>
          </cell>
          <cell r="I2914">
            <v>601</v>
          </cell>
          <cell r="J2914">
            <v>31.39</v>
          </cell>
          <cell r="K2914">
            <v>72.88</v>
          </cell>
          <cell r="L2914" t="str">
            <v>合格</v>
          </cell>
          <cell r="M2914" t="str">
            <v>孙家孟</v>
          </cell>
          <cell r="N2914" t="str">
            <v>20181229002-15</v>
          </cell>
          <cell r="Q2914">
            <v>601</v>
          </cell>
          <cell r="R2914">
            <v>26.6815</v>
          </cell>
        </row>
        <row r="2915">
          <cell r="E2915" t="str">
            <v>HFMET181226A3039-94-141</v>
          </cell>
          <cell r="F2915" t="str">
            <v>Meta 58，E07</v>
          </cell>
          <cell r="G2915">
            <v>20</v>
          </cell>
          <cell r="H2915" t="str">
            <v>大鼠粪便</v>
          </cell>
          <cell r="I2915">
            <v>619</v>
          </cell>
          <cell r="J2915">
            <v>19.57</v>
          </cell>
          <cell r="K2915">
            <v>45.61</v>
          </cell>
          <cell r="L2915" t="str">
            <v>合格</v>
          </cell>
          <cell r="M2915" t="str">
            <v>孙家孟</v>
          </cell>
          <cell r="N2915" t="str">
            <v>20181229002-16</v>
          </cell>
          <cell r="Q2915">
            <v>619</v>
          </cell>
          <cell r="R2915">
            <v>16.634499999999999</v>
          </cell>
        </row>
        <row r="2916">
          <cell r="E2916" t="str">
            <v>HFMET181226A3040-87-142</v>
          </cell>
          <cell r="F2916" t="str">
            <v>Meta 58，E08</v>
          </cell>
          <cell r="G2916">
            <v>20</v>
          </cell>
          <cell r="H2916" t="str">
            <v>大鼠粪便</v>
          </cell>
          <cell r="I2916">
            <v>637</v>
          </cell>
          <cell r="J2916">
            <v>12.19</v>
          </cell>
          <cell r="K2916">
            <v>27.54</v>
          </cell>
          <cell r="L2916" t="str">
            <v>合格</v>
          </cell>
          <cell r="M2916" t="str">
            <v>孙家孟</v>
          </cell>
          <cell r="N2916" t="str">
            <v>20181229002-17</v>
          </cell>
          <cell r="Q2916">
            <v>637</v>
          </cell>
          <cell r="R2916">
            <v>10.361499999999999</v>
          </cell>
        </row>
        <row r="2917">
          <cell r="E2917" t="str">
            <v>HFMET181226A3041-88-142</v>
          </cell>
          <cell r="F2917" t="str">
            <v>Meta 58，E09</v>
          </cell>
          <cell r="G2917">
            <v>20</v>
          </cell>
          <cell r="H2917" t="str">
            <v>大鼠粪便</v>
          </cell>
          <cell r="I2917">
            <v>626</v>
          </cell>
          <cell r="J2917">
            <v>22.44</v>
          </cell>
          <cell r="K2917">
            <v>50.84</v>
          </cell>
          <cell r="L2917" t="str">
            <v>合格</v>
          </cell>
          <cell r="M2917" t="str">
            <v>孙家孟</v>
          </cell>
          <cell r="N2917" t="str">
            <v>20181229002-18</v>
          </cell>
          <cell r="Q2917">
            <v>626</v>
          </cell>
          <cell r="R2917">
            <v>19.074000000000002</v>
          </cell>
        </row>
        <row r="2918">
          <cell r="E2918" t="str">
            <v>HFMET181226A3042-89-142</v>
          </cell>
          <cell r="F2918" t="str">
            <v>Meta 58，E10</v>
          </cell>
          <cell r="G2918">
            <v>20</v>
          </cell>
          <cell r="H2918" t="str">
            <v>大鼠粪便</v>
          </cell>
          <cell r="I2918">
            <v>596</v>
          </cell>
          <cell r="J2918">
            <v>29.16</v>
          </cell>
          <cell r="K2918">
            <v>68.81</v>
          </cell>
          <cell r="L2918" t="str">
            <v>合格</v>
          </cell>
          <cell r="M2918" t="str">
            <v>孙家孟</v>
          </cell>
          <cell r="N2918" t="str">
            <v>20181229002-19</v>
          </cell>
          <cell r="Q2918">
            <v>596</v>
          </cell>
          <cell r="R2918">
            <v>24.785999999999998</v>
          </cell>
        </row>
        <row r="2919">
          <cell r="E2919" t="str">
            <v>HFMET181226A3043-90-142</v>
          </cell>
          <cell r="F2919" t="str">
            <v>Meta 58，E11</v>
          </cell>
          <cell r="G2919">
            <v>20</v>
          </cell>
          <cell r="H2919" t="str">
            <v>大鼠粪便</v>
          </cell>
          <cell r="I2919">
            <v>622</v>
          </cell>
          <cell r="J2919">
            <v>24.18</v>
          </cell>
          <cell r="K2919">
            <v>55.47</v>
          </cell>
          <cell r="L2919" t="str">
            <v>合格</v>
          </cell>
          <cell r="M2919" t="str">
            <v>孙家孟</v>
          </cell>
          <cell r="N2919" t="str">
            <v>20181229002-20</v>
          </cell>
          <cell r="Q2919">
            <v>622</v>
          </cell>
          <cell r="R2919">
            <v>20.553000000000001</v>
          </cell>
        </row>
        <row r="2920">
          <cell r="E2920" t="str">
            <v>HFMET181226A3044-91-142</v>
          </cell>
          <cell r="F2920" t="str">
            <v>Meta 58，E12</v>
          </cell>
          <cell r="G2920">
            <v>20</v>
          </cell>
          <cell r="H2920" t="str">
            <v>大鼠粪便</v>
          </cell>
          <cell r="I2920">
            <v>613</v>
          </cell>
          <cell r="J2920">
            <v>23.41</v>
          </cell>
          <cell r="K2920">
            <v>53.83</v>
          </cell>
          <cell r="L2920" t="str">
            <v>合格</v>
          </cell>
          <cell r="M2920" t="str">
            <v>孙家孟</v>
          </cell>
          <cell r="N2920" t="str">
            <v>20181229002-21</v>
          </cell>
          <cell r="Q2920">
            <v>613</v>
          </cell>
          <cell r="R2920">
            <v>19.898499999999999</v>
          </cell>
        </row>
        <row r="2921">
          <cell r="E2921" t="str">
            <v>HFMET181226A3045-92-142</v>
          </cell>
          <cell r="F2921" t="str">
            <v>Meta 58，F01</v>
          </cell>
          <cell r="G2921">
            <v>20</v>
          </cell>
          <cell r="H2921" t="str">
            <v>大鼠粪便</v>
          </cell>
          <cell r="I2921">
            <v>614</v>
          </cell>
          <cell r="J2921">
            <v>23.72</v>
          </cell>
          <cell r="K2921">
            <v>54.21</v>
          </cell>
          <cell r="L2921" t="str">
            <v>合格</v>
          </cell>
          <cell r="M2921" t="str">
            <v>孙家孟</v>
          </cell>
          <cell r="N2921" t="str">
            <v>20181229002-22</v>
          </cell>
          <cell r="Q2921">
            <v>614</v>
          </cell>
          <cell r="R2921">
            <v>20.161999999999999</v>
          </cell>
        </row>
        <row r="2922">
          <cell r="E2922" t="str">
            <v>HFMET181226A3046-93-142</v>
          </cell>
          <cell r="F2922" t="str">
            <v>Meta 58，F02</v>
          </cell>
          <cell r="G2922">
            <v>20</v>
          </cell>
          <cell r="H2922" t="str">
            <v>大鼠粪便</v>
          </cell>
          <cell r="I2922">
            <v>617</v>
          </cell>
          <cell r="J2922">
            <v>29.01</v>
          </cell>
          <cell r="K2922">
            <v>65.97</v>
          </cell>
          <cell r="L2922" t="str">
            <v>合格</v>
          </cell>
          <cell r="M2922" t="str">
            <v>孙家孟</v>
          </cell>
          <cell r="N2922" t="str">
            <v>20181229002-23</v>
          </cell>
          <cell r="Q2922">
            <v>617</v>
          </cell>
          <cell r="R2922">
            <v>24.6585</v>
          </cell>
        </row>
        <row r="2923">
          <cell r="E2923" t="str">
            <v>HFMET181226A3047-94-142</v>
          </cell>
          <cell r="F2923" t="str">
            <v>Meta 58，F03</v>
          </cell>
          <cell r="G2923">
            <v>20</v>
          </cell>
          <cell r="H2923" t="str">
            <v>大鼠粪便</v>
          </cell>
          <cell r="I2923">
            <v>598</v>
          </cell>
          <cell r="J2923">
            <v>30.55</v>
          </cell>
          <cell r="K2923">
            <v>71.67</v>
          </cell>
          <cell r="L2923" t="str">
            <v>合格</v>
          </cell>
          <cell r="M2923" t="str">
            <v>孙家孟</v>
          </cell>
          <cell r="N2923" t="str">
            <v>20181229002-24</v>
          </cell>
          <cell r="Q2923">
            <v>598</v>
          </cell>
          <cell r="R2923">
            <v>25.967500000000001</v>
          </cell>
        </row>
        <row r="2924">
          <cell r="E2924" t="str">
            <v>HFMET181226A3048-95-142</v>
          </cell>
          <cell r="F2924" t="str">
            <v>Meta 58，F04</v>
          </cell>
          <cell r="G2924">
            <v>20</v>
          </cell>
          <cell r="H2924" t="str">
            <v>大鼠粪便</v>
          </cell>
          <cell r="I2924">
            <v>634</v>
          </cell>
          <cell r="J2924">
            <v>18.309999999999999</v>
          </cell>
          <cell r="K2924">
            <v>41.24</v>
          </cell>
          <cell r="L2924" t="str">
            <v>合格</v>
          </cell>
          <cell r="M2924" t="str">
            <v>孙家孟</v>
          </cell>
          <cell r="N2924" t="str">
            <v>20181229002-25</v>
          </cell>
          <cell r="Q2924">
            <v>634</v>
          </cell>
          <cell r="R2924">
            <v>15.563499999999998</v>
          </cell>
        </row>
        <row r="2925">
          <cell r="E2925" t="str">
            <v>NTC1-95-142</v>
          </cell>
          <cell r="F2925" t="str">
            <v>Meta 58，F05</v>
          </cell>
          <cell r="G2925">
            <v>20</v>
          </cell>
          <cell r="I2925">
            <v>658</v>
          </cell>
          <cell r="J2925">
            <v>0.11</v>
          </cell>
          <cell r="K2925">
            <v>0.25</v>
          </cell>
          <cell r="L2925" t="str">
            <v>合格</v>
          </cell>
          <cell r="M2925" t="str">
            <v>孙家孟</v>
          </cell>
          <cell r="N2925" t="str">
            <v>20181229002-26</v>
          </cell>
          <cell r="Q2925">
            <v>658</v>
          </cell>
          <cell r="R2925">
            <v>9.35E-2</v>
          </cell>
        </row>
        <row r="2926">
          <cell r="E2926" t="str">
            <v>HFMET181226A3050-59-76</v>
          </cell>
          <cell r="F2926" t="str">
            <v>Meta 58，F06</v>
          </cell>
          <cell r="G2926">
            <v>20</v>
          </cell>
          <cell r="I2926" t="str">
            <v>438/355/375</v>
          </cell>
          <cell r="J2926">
            <v>11.84</v>
          </cell>
          <cell r="K2926">
            <v>46.47</v>
          </cell>
          <cell r="L2926" t="str">
            <v>合格</v>
          </cell>
          <cell r="M2926" t="str">
            <v>孙家孟</v>
          </cell>
          <cell r="N2926" t="str">
            <v>20181229002-27</v>
          </cell>
          <cell r="Q2926" t="str">
            <v>438/355/375</v>
          </cell>
          <cell r="R2926">
            <v>10.064</v>
          </cell>
        </row>
        <row r="2927">
          <cell r="E2927" t="str">
            <v>HFMET181226A3051-60-76</v>
          </cell>
          <cell r="F2927" t="str">
            <v>Meta 58，F07</v>
          </cell>
          <cell r="G2927">
            <v>20</v>
          </cell>
          <cell r="I2927" t="str">
            <v>442/407</v>
          </cell>
          <cell r="J2927">
            <v>6.53</v>
          </cell>
          <cell r="K2927">
            <v>25.15</v>
          </cell>
          <cell r="L2927" t="str">
            <v>合格</v>
          </cell>
          <cell r="M2927" t="str">
            <v>孙家孟</v>
          </cell>
          <cell r="N2927" t="str">
            <v>20181229002-28</v>
          </cell>
          <cell r="Q2927" t="str">
            <v>442/407</v>
          </cell>
          <cell r="R2927">
            <v>5.5505000000000004</v>
          </cell>
        </row>
        <row r="2928">
          <cell r="E2928" t="str">
            <v>HFMET181226A3052-61-76</v>
          </cell>
          <cell r="F2928" t="str">
            <v>Meta 58，F08</v>
          </cell>
          <cell r="G2928">
            <v>20</v>
          </cell>
          <cell r="I2928" t="str">
            <v>445/375</v>
          </cell>
          <cell r="J2928">
            <v>3.59</v>
          </cell>
          <cell r="K2928">
            <v>14.02</v>
          </cell>
          <cell r="L2928" t="str">
            <v>合格</v>
          </cell>
          <cell r="M2928" t="str">
            <v>孙家孟</v>
          </cell>
          <cell r="N2928" t="str">
            <v>20181229002-29</v>
          </cell>
          <cell r="Q2928" t="str">
            <v>445/375</v>
          </cell>
          <cell r="R2928">
            <v>3.0514999999999999</v>
          </cell>
        </row>
        <row r="2929">
          <cell r="E2929" t="str">
            <v>HFMET181226A3053-62-76</v>
          </cell>
          <cell r="F2929" t="str">
            <v>Meta 58，F09</v>
          </cell>
          <cell r="G2929">
            <v>20</v>
          </cell>
          <cell r="I2929" t="str">
            <v>460/430/364</v>
          </cell>
          <cell r="J2929">
            <v>4.46</v>
          </cell>
          <cell r="K2929">
            <v>17.350000000000001</v>
          </cell>
          <cell r="L2929" t="str">
            <v>合格</v>
          </cell>
          <cell r="M2929" t="str">
            <v>孙家孟</v>
          </cell>
          <cell r="N2929" t="str">
            <v>20181229002-30</v>
          </cell>
          <cell r="Q2929" t="str">
            <v>460/430/364</v>
          </cell>
          <cell r="R2929">
            <v>3.7909999999999999</v>
          </cell>
        </row>
        <row r="2930">
          <cell r="E2930" t="str">
            <v>HFMET181226A3054-63-76</v>
          </cell>
          <cell r="F2930" t="str">
            <v>Meta 58，F10</v>
          </cell>
          <cell r="G2930">
            <v>20</v>
          </cell>
          <cell r="I2930" t="str">
            <v>438/453/365</v>
          </cell>
          <cell r="J2930">
            <v>7.88</v>
          </cell>
          <cell r="K2930">
            <v>31.05</v>
          </cell>
          <cell r="L2930" t="str">
            <v>合格</v>
          </cell>
          <cell r="M2930" t="str">
            <v>孙家孟</v>
          </cell>
          <cell r="N2930" t="str">
            <v>20181229002-31</v>
          </cell>
          <cell r="Q2930" t="str">
            <v>438/453/365</v>
          </cell>
          <cell r="R2930">
            <v>6.6979999999999995</v>
          </cell>
        </row>
        <row r="2931">
          <cell r="E2931" t="str">
            <v>HFMET181226A3055-64-76</v>
          </cell>
          <cell r="F2931" t="str">
            <v>Meta 58，F11</v>
          </cell>
          <cell r="G2931">
            <v>20</v>
          </cell>
          <cell r="I2931" t="str">
            <v>363/439</v>
          </cell>
          <cell r="J2931">
            <v>4.4800000000000004</v>
          </cell>
          <cell r="K2931">
            <v>18.239999999999998</v>
          </cell>
          <cell r="L2931" t="str">
            <v>合格</v>
          </cell>
          <cell r="M2931" t="str">
            <v>孙家孟</v>
          </cell>
          <cell r="N2931" t="str">
            <v>20181229002-32</v>
          </cell>
          <cell r="Q2931" t="str">
            <v>363/439</v>
          </cell>
          <cell r="R2931">
            <v>3.8080000000000003</v>
          </cell>
        </row>
        <row r="2932">
          <cell r="E2932" t="str">
            <v>HFMET181226A3056-65-76</v>
          </cell>
          <cell r="F2932" t="str">
            <v>Meta 58，F12</v>
          </cell>
          <cell r="G2932">
            <v>20</v>
          </cell>
          <cell r="I2932" t="str">
            <v>403/383</v>
          </cell>
          <cell r="J2932">
            <v>2.5499999999999998</v>
          </cell>
          <cell r="K2932">
            <v>9.9600000000000009</v>
          </cell>
          <cell r="L2932" t="str">
            <v>合格</v>
          </cell>
          <cell r="M2932" t="str">
            <v>孙家孟</v>
          </cell>
          <cell r="N2932" t="str">
            <v>20181229002-33</v>
          </cell>
          <cell r="Q2932" t="str">
            <v>403/383</v>
          </cell>
          <cell r="R2932">
            <v>2.1675</v>
          </cell>
        </row>
        <row r="2933">
          <cell r="E2933" t="str">
            <v>HFMET181226A3057-66-76</v>
          </cell>
          <cell r="F2933" t="str">
            <v>Meta 58，G01</v>
          </cell>
          <cell r="G2933">
            <v>20</v>
          </cell>
          <cell r="I2933" t="str">
            <v>406/383/370</v>
          </cell>
          <cell r="J2933">
            <v>2.44</v>
          </cell>
          <cell r="K2933">
            <v>9.8000000000000007</v>
          </cell>
          <cell r="L2933" t="str">
            <v>合格</v>
          </cell>
          <cell r="M2933" t="str">
            <v>孙家孟</v>
          </cell>
          <cell r="N2933" t="str">
            <v>20181229002-34</v>
          </cell>
          <cell r="Q2933" t="str">
            <v>406/383/370</v>
          </cell>
          <cell r="R2933">
            <v>2.0739999999999998</v>
          </cell>
        </row>
        <row r="2934">
          <cell r="E2934" t="str">
            <v>HFMET181226A3058-59-77</v>
          </cell>
          <cell r="F2934" t="str">
            <v>Meta 58，G02</v>
          </cell>
          <cell r="G2934">
            <v>20</v>
          </cell>
          <cell r="I2934" t="str">
            <v>377/398/434</v>
          </cell>
          <cell r="J2934">
            <v>6.01</v>
          </cell>
          <cell r="K2934">
            <v>24.15</v>
          </cell>
          <cell r="L2934" t="str">
            <v>合格</v>
          </cell>
          <cell r="M2934" t="str">
            <v>孙家孟</v>
          </cell>
          <cell r="N2934" t="str">
            <v>20181229002-35</v>
          </cell>
          <cell r="Q2934" t="str">
            <v>377/398/434</v>
          </cell>
          <cell r="R2934">
            <v>5.1084999999999994</v>
          </cell>
        </row>
        <row r="2935">
          <cell r="E2935" t="str">
            <v>HFMET181226A3059-60-77</v>
          </cell>
          <cell r="F2935" t="str">
            <v>Meta 58，G03</v>
          </cell>
          <cell r="G2935">
            <v>20</v>
          </cell>
          <cell r="I2935" t="str">
            <v>491/402</v>
          </cell>
          <cell r="J2935">
            <v>4.53</v>
          </cell>
          <cell r="K2935">
            <v>14.85</v>
          </cell>
          <cell r="L2935" t="str">
            <v>合格</v>
          </cell>
          <cell r="M2935" t="str">
            <v>孙家孟</v>
          </cell>
          <cell r="N2935" t="str">
            <v>20181229002-36</v>
          </cell>
          <cell r="Q2935" t="str">
            <v>491/402</v>
          </cell>
          <cell r="R2935">
            <v>3.8505000000000003</v>
          </cell>
        </row>
        <row r="2936">
          <cell r="E2936" t="str">
            <v>HFMET181226A3060-61-77</v>
          </cell>
          <cell r="F2936" t="str">
            <v>Meta 58，G04</v>
          </cell>
          <cell r="G2936">
            <v>20</v>
          </cell>
          <cell r="I2936">
            <v>499</v>
          </cell>
          <cell r="J2936">
            <v>0.66</v>
          </cell>
          <cell r="K2936">
            <v>2.12</v>
          </cell>
          <cell r="L2936" t="str">
            <v>不合格</v>
          </cell>
          <cell r="M2936" t="str">
            <v>孙家孟</v>
          </cell>
          <cell r="N2936" t="str">
            <v>20181229002-37</v>
          </cell>
          <cell r="Q2936">
            <v>499</v>
          </cell>
          <cell r="R2936">
            <v>0.56100000000000005</v>
          </cell>
        </row>
        <row r="2937">
          <cell r="E2937" t="str">
            <v>HFMET181226A3061-62-77</v>
          </cell>
          <cell r="F2937" t="str">
            <v>Meta 58，G05</v>
          </cell>
          <cell r="G2937">
            <v>20</v>
          </cell>
          <cell r="I2937">
            <v>493</v>
          </cell>
          <cell r="J2937">
            <v>4.28</v>
          </cell>
          <cell r="K2937">
            <v>13.95</v>
          </cell>
          <cell r="L2937" t="str">
            <v>合格</v>
          </cell>
          <cell r="M2937" t="str">
            <v>孙家孟</v>
          </cell>
          <cell r="N2937" t="str">
            <v>20181229002-38</v>
          </cell>
          <cell r="Q2937">
            <v>493</v>
          </cell>
          <cell r="R2937">
            <v>3.6379999999999999</v>
          </cell>
        </row>
        <row r="2938">
          <cell r="E2938" t="str">
            <v>NTC2-62-77</v>
          </cell>
          <cell r="F2938" t="str">
            <v>Meta 58，G06</v>
          </cell>
          <cell r="G2938">
            <v>20</v>
          </cell>
          <cell r="I2938">
            <v>0</v>
          </cell>
          <cell r="J2938">
            <v>0.03</v>
          </cell>
          <cell r="K2938">
            <v>0.11</v>
          </cell>
          <cell r="L2938" t="str">
            <v>合格</v>
          </cell>
          <cell r="M2938" t="str">
            <v>孙家孟</v>
          </cell>
          <cell r="N2938" t="str">
            <v>20181229002-39</v>
          </cell>
          <cell r="Q2938">
            <v>0</v>
          </cell>
          <cell r="R2938">
            <v>2.5499999999999998E-2</v>
          </cell>
        </row>
        <row r="2939">
          <cell r="E2939" t="str">
            <v>HFMET181229A3063-108-138</v>
          </cell>
          <cell r="F2939" t="str">
            <v>Meta 58，G07</v>
          </cell>
          <cell r="G2939">
            <v>20</v>
          </cell>
          <cell r="H2939" t="str">
            <v>土壤</v>
          </cell>
          <cell r="I2939">
            <v>647</v>
          </cell>
          <cell r="J2939" t="str">
            <v>12.50</v>
          </cell>
          <cell r="K2939" t="str">
            <v>28.87</v>
          </cell>
          <cell r="L2939" t="str">
            <v>合格</v>
          </cell>
          <cell r="M2939" t="str">
            <v>王丹丹</v>
          </cell>
          <cell r="N2939" t="str">
            <v>20181229-3-1</v>
          </cell>
          <cell r="Q2939">
            <v>647</v>
          </cell>
          <cell r="R2939">
            <v>10.625</v>
          </cell>
        </row>
        <row r="2940">
          <cell r="E2940" t="str">
            <v>NTC1-108-138</v>
          </cell>
          <cell r="F2940" t="str">
            <v>Meta 58，G08</v>
          </cell>
          <cell r="G2940">
            <v>20</v>
          </cell>
          <cell r="H2940" t="str">
            <v>土壤</v>
          </cell>
          <cell r="J2940" t="str">
            <v>0.14</v>
          </cell>
          <cell r="K2940" t="str">
            <v>0.31</v>
          </cell>
          <cell r="L2940" t="str">
            <v>合格</v>
          </cell>
          <cell r="M2940" t="str">
            <v>王丹丹</v>
          </cell>
          <cell r="N2940" t="str">
            <v>20181229-3-2</v>
          </cell>
          <cell r="R2940">
            <v>0.11900000000000001</v>
          </cell>
        </row>
        <row r="2941">
          <cell r="E2941" t="str">
            <v>HFMET181229A3064-66-77</v>
          </cell>
          <cell r="F2941" t="str">
            <v>Meta 58，G09</v>
          </cell>
          <cell r="G2941">
            <v>20</v>
          </cell>
          <cell r="H2941" t="str">
            <v>餐厨垃圾</v>
          </cell>
          <cell r="I2941">
            <v>621</v>
          </cell>
          <cell r="J2941" t="str">
            <v>0.04</v>
          </cell>
          <cell r="K2941" t="str">
            <v>0.13</v>
          </cell>
          <cell r="L2941" t="str">
            <v>不合格</v>
          </cell>
          <cell r="M2941" t="str">
            <v>王丹丹</v>
          </cell>
          <cell r="N2941" t="str">
            <v>20181229-3-3</v>
          </cell>
          <cell r="Q2941">
            <v>621</v>
          </cell>
          <cell r="R2941">
            <v>3.4000000000000002E-2</v>
          </cell>
        </row>
        <row r="2942">
          <cell r="E2942" t="str">
            <v>NTC2-66-77</v>
          </cell>
          <cell r="F2942" t="str">
            <v>Meta 58，G10</v>
          </cell>
          <cell r="G2942">
            <v>20</v>
          </cell>
          <cell r="H2942" t="str">
            <v>餐厨垃圾</v>
          </cell>
          <cell r="J2942" t="str">
            <v>0.04</v>
          </cell>
          <cell r="K2942" t="str">
            <v>0.13</v>
          </cell>
          <cell r="L2942" t="str">
            <v>合格</v>
          </cell>
          <cell r="M2942" t="str">
            <v>王丹丹</v>
          </cell>
          <cell r="N2942" t="str">
            <v>20181229-3-4</v>
          </cell>
          <cell r="Q2942">
            <v>0</v>
          </cell>
          <cell r="R2942">
            <v>3.4000000000000002E-2</v>
          </cell>
        </row>
        <row r="2943">
          <cell r="E2943" t="str">
            <v>HFMET190102A0001-101-111</v>
          </cell>
          <cell r="F2943" t="str">
            <v>Meta 58，G11</v>
          </cell>
          <cell r="G2943">
            <v>20</v>
          </cell>
          <cell r="I2943">
            <v>546</v>
          </cell>
          <cell r="J2943">
            <v>27.53</v>
          </cell>
          <cell r="K2943">
            <v>70.5</v>
          </cell>
          <cell r="L2943" t="str">
            <v>合格</v>
          </cell>
          <cell r="M2943" t="str">
            <v>孙家孟/朱绪涛</v>
          </cell>
          <cell r="N2943" t="str">
            <v>20190103-1-1</v>
          </cell>
          <cell r="O2943" t="str">
            <v>Qsep 100</v>
          </cell>
          <cell r="Q2943">
            <v>546</v>
          </cell>
          <cell r="R2943">
            <v>49.003400000000006</v>
          </cell>
        </row>
        <row r="2944">
          <cell r="E2944" t="str">
            <v>HFMET190102A0002-102-111</v>
          </cell>
          <cell r="F2944" t="str">
            <v>Meta 58，G12</v>
          </cell>
          <cell r="G2944">
            <v>20</v>
          </cell>
          <cell r="I2944">
            <v>564</v>
          </cell>
          <cell r="J2944">
            <v>50.14</v>
          </cell>
          <cell r="K2944">
            <v>125.23</v>
          </cell>
          <cell r="L2944" t="str">
            <v>合格</v>
          </cell>
          <cell r="M2944" t="str">
            <v>孙家孟/朱绪涛</v>
          </cell>
          <cell r="N2944" t="str">
            <v>20190103-1-2</v>
          </cell>
          <cell r="O2944" t="str">
            <v>Qsep 100</v>
          </cell>
          <cell r="Q2944">
            <v>564</v>
          </cell>
          <cell r="R2944">
            <v>89.249200000000002</v>
          </cell>
        </row>
        <row r="2945">
          <cell r="E2945" t="str">
            <v>HFMET190102A0003-103-111</v>
          </cell>
          <cell r="F2945" t="str">
            <v>Meta 58，H01</v>
          </cell>
          <cell r="G2945">
            <v>20</v>
          </cell>
          <cell r="I2945">
            <v>605</v>
          </cell>
          <cell r="J2945">
            <v>3.38</v>
          </cell>
          <cell r="K2945">
            <v>8.19</v>
          </cell>
          <cell r="L2945" t="str">
            <v>合格</v>
          </cell>
          <cell r="M2945" t="str">
            <v>孙家孟/朱绪涛</v>
          </cell>
          <cell r="N2945" t="str">
            <v>20190103-1-3</v>
          </cell>
          <cell r="O2945" t="str">
            <v>Qsep 100</v>
          </cell>
          <cell r="Q2945">
            <v>605</v>
          </cell>
          <cell r="R2945">
            <v>6.0164</v>
          </cell>
        </row>
        <row r="2946">
          <cell r="E2946" t="str">
            <v>HFMET190102A0004-104-111</v>
          </cell>
          <cell r="F2946" t="str">
            <v>Meta 58，H02</v>
          </cell>
          <cell r="G2946">
            <v>20</v>
          </cell>
          <cell r="I2946">
            <v>557</v>
          </cell>
          <cell r="J2946">
            <v>20.7</v>
          </cell>
          <cell r="K2946">
            <v>52.01</v>
          </cell>
          <cell r="L2946" t="str">
            <v>合格</v>
          </cell>
          <cell r="M2946" t="str">
            <v>孙家孟/朱绪涛</v>
          </cell>
          <cell r="N2946" t="str">
            <v>20190103-1-4</v>
          </cell>
          <cell r="O2946" t="str">
            <v>Qsep 100</v>
          </cell>
          <cell r="Q2946">
            <v>557</v>
          </cell>
          <cell r="R2946">
            <v>36.845999999999997</v>
          </cell>
        </row>
        <row r="2947">
          <cell r="E2947" t="str">
            <v>HFMET190102A0005-105-111</v>
          </cell>
          <cell r="F2947" t="str">
            <v>Meta 58，H03</v>
          </cell>
          <cell r="G2947">
            <v>20</v>
          </cell>
          <cell r="I2947">
            <v>561</v>
          </cell>
          <cell r="J2947">
            <v>15.67</v>
          </cell>
          <cell r="K2947">
            <v>39.31</v>
          </cell>
          <cell r="L2947" t="str">
            <v>合格</v>
          </cell>
          <cell r="M2947" t="str">
            <v>孙家孟/朱绪涛</v>
          </cell>
          <cell r="N2947" t="str">
            <v>20190103-1-5</v>
          </cell>
          <cell r="O2947" t="str">
            <v>Qsep 100</v>
          </cell>
          <cell r="Q2947">
            <v>561</v>
          </cell>
          <cell r="R2947">
            <v>27.892600000000002</v>
          </cell>
        </row>
        <row r="2948">
          <cell r="E2948" t="str">
            <v>HFMET190102A0006-106-111</v>
          </cell>
          <cell r="F2948" t="str">
            <v>Meta 58，H04</v>
          </cell>
          <cell r="G2948">
            <v>20</v>
          </cell>
          <cell r="I2948">
            <v>600</v>
          </cell>
          <cell r="J2948">
            <v>6.05</v>
          </cell>
          <cell r="K2948">
            <v>14.65</v>
          </cell>
          <cell r="L2948" t="str">
            <v>合格</v>
          </cell>
          <cell r="M2948" t="str">
            <v>孙家孟/朱绪涛</v>
          </cell>
          <cell r="N2948" t="str">
            <v>20190103-1-6</v>
          </cell>
          <cell r="O2948" t="str">
            <v>Qsep 100</v>
          </cell>
          <cell r="Q2948">
            <v>600</v>
          </cell>
          <cell r="R2948">
            <v>10.769</v>
          </cell>
        </row>
        <row r="2949">
          <cell r="E2949" t="str">
            <v>HFMET190102A0007-107-111</v>
          </cell>
          <cell r="F2949" t="str">
            <v>Meta 58，H05</v>
          </cell>
          <cell r="G2949">
            <v>20</v>
          </cell>
          <cell r="I2949">
            <v>594</v>
          </cell>
          <cell r="J2949">
            <v>7.41</v>
          </cell>
          <cell r="K2949">
            <v>18.100000000000001</v>
          </cell>
          <cell r="L2949" t="str">
            <v>合格</v>
          </cell>
          <cell r="M2949" t="str">
            <v>孙家孟/朱绪涛</v>
          </cell>
          <cell r="N2949" t="str">
            <v>20190103-1-7</v>
          </cell>
          <cell r="O2949" t="str">
            <v>Qsep 100</v>
          </cell>
          <cell r="Q2949">
            <v>594</v>
          </cell>
          <cell r="R2949">
            <v>13.1898</v>
          </cell>
        </row>
        <row r="2950">
          <cell r="E2950" t="str">
            <v>HFMET190102A0008-108-111</v>
          </cell>
          <cell r="F2950" t="str">
            <v>Meta 58，H06</v>
          </cell>
          <cell r="G2950">
            <v>20</v>
          </cell>
          <cell r="I2950">
            <v>571</v>
          </cell>
          <cell r="J2950">
            <v>19.27</v>
          </cell>
          <cell r="K2950">
            <v>47.5</v>
          </cell>
          <cell r="L2950" t="str">
            <v>合格</v>
          </cell>
          <cell r="M2950" t="str">
            <v>孙家孟/朱绪涛</v>
          </cell>
          <cell r="N2950" t="str">
            <v>20190103-1-8</v>
          </cell>
          <cell r="O2950" t="str">
            <v>Qsep 100</v>
          </cell>
          <cell r="Q2950">
            <v>571</v>
          </cell>
          <cell r="R2950">
            <v>34.300600000000003</v>
          </cell>
        </row>
        <row r="2951">
          <cell r="E2951" t="str">
            <v>HFMET190102A0009-101-114</v>
          </cell>
          <cell r="F2951" t="str">
            <v>Meta 58，H07</v>
          </cell>
          <cell r="G2951">
            <v>20</v>
          </cell>
          <cell r="I2951">
            <v>648</v>
          </cell>
          <cell r="J2951">
            <v>0.68</v>
          </cell>
          <cell r="K2951">
            <v>1.56</v>
          </cell>
          <cell r="L2951" t="str">
            <v>不合格</v>
          </cell>
          <cell r="M2951" t="str">
            <v>孙家孟/朱绪涛</v>
          </cell>
          <cell r="N2951" t="str">
            <v>20190103-1-9</v>
          </cell>
          <cell r="O2951" t="str">
            <v>Qsep 100</v>
          </cell>
          <cell r="Q2951">
            <v>648</v>
          </cell>
          <cell r="R2951">
            <v>1.2104000000000001</v>
          </cell>
        </row>
        <row r="2952">
          <cell r="E2952" t="str">
            <v>HFMET190102A0010-102-114</v>
          </cell>
          <cell r="F2952" t="str">
            <v>Meta 58，H08</v>
          </cell>
          <cell r="G2952">
            <v>20</v>
          </cell>
          <cell r="I2952">
            <v>649</v>
          </cell>
          <cell r="J2952">
            <v>1.49</v>
          </cell>
          <cell r="K2952">
            <v>3.44</v>
          </cell>
          <cell r="L2952" t="str">
            <v>合格</v>
          </cell>
          <cell r="M2952" t="str">
            <v>孙家孟/朱绪涛</v>
          </cell>
          <cell r="N2952" t="str">
            <v>20190103-1-10</v>
          </cell>
          <cell r="O2952" t="str">
            <v>Qsep 100</v>
          </cell>
          <cell r="Q2952">
            <v>649</v>
          </cell>
          <cell r="R2952">
            <v>2.6522000000000001</v>
          </cell>
        </row>
        <row r="2953">
          <cell r="E2953" t="str">
            <v>HFMET190102A0011-103-114</v>
          </cell>
          <cell r="F2953" t="str">
            <v>Meta 58，H09</v>
          </cell>
          <cell r="G2953">
            <v>20</v>
          </cell>
          <cell r="I2953">
            <v>607</v>
          </cell>
          <cell r="J2953">
            <v>4.54</v>
          </cell>
          <cell r="K2953">
            <v>10.91</v>
          </cell>
          <cell r="L2953" t="str">
            <v>合格</v>
          </cell>
          <cell r="M2953" t="str">
            <v>孙家孟/朱绪涛</v>
          </cell>
          <cell r="N2953" t="str">
            <v>20190103-1-11</v>
          </cell>
          <cell r="O2953" t="str">
            <v>Qsep 100</v>
          </cell>
          <cell r="Q2953">
            <v>607</v>
          </cell>
          <cell r="R2953">
            <v>8.0812000000000008</v>
          </cell>
        </row>
        <row r="2954">
          <cell r="E2954" t="str">
            <v>HFMET190102A0012-104-114</v>
          </cell>
          <cell r="F2954" t="str">
            <v>Meta 58，H10</v>
          </cell>
          <cell r="G2954">
            <v>20</v>
          </cell>
          <cell r="I2954">
            <v>576</v>
          </cell>
          <cell r="J2954">
            <v>13.55</v>
          </cell>
          <cell r="K2954">
            <v>33.6</v>
          </cell>
          <cell r="L2954" t="str">
            <v>合格</v>
          </cell>
          <cell r="M2954" t="str">
            <v>孙家孟/朱绪涛</v>
          </cell>
          <cell r="N2954" t="str">
            <v>20190103-1-12</v>
          </cell>
          <cell r="O2954" t="str">
            <v>Qsep 100</v>
          </cell>
          <cell r="Q2954">
            <v>576</v>
          </cell>
          <cell r="R2954">
            <v>24.119000000000003</v>
          </cell>
        </row>
        <row r="2955">
          <cell r="E2955" t="str">
            <v>HFMET190102A0013-105-114</v>
          </cell>
          <cell r="F2955" t="str">
            <v>Meta 58，H11</v>
          </cell>
          <cell r="G2955">
            <v>20</v>
          </cell>
          <cell r="I2955">
            <v>634</v>
          </cell>
          <cell r="J2955">
            <v>1.99</v>
          </cell>
          <cell r="K2955">
            <v>4.66</v>
          </cell>
          <cell r="L2955" t="str">
            <v>合格</v>
          </cell>
          <cell r="M2955" t="str">
            <v>孙家孟/朱绪涛</v>
          </cell>
          <cell r="N2955" t="str">
            <v>20190103-1-13</v>
          </cell>
          <cell r="O2955" t="str">
            <v>Qsep 100</v>
          </cell>
          <cell r="Q2955">
            <v>634</v>
          </cell>
          <cell r="R2955">
            <v>3.5422000000000002</v>
          </cell>
        </row>
        <row r="2956">
          <cell r="E2956" t="str">
            <v>HFMET190102A0014-106-114</v>
          </cell>
          <cell r="F2956" t="str">
            <v>Meta 58，H12</v>
          </cell>
          <cell r="G2956">
            <v>20</v>
          </cell>
          <cell r="I2956">
            <v>658</v>
          </cell>
          <cell r="J2956">
            <v>0.56999999999999995</v>
          </cell>
          <cell r="K2956">
            <v>1.3</v>
          </cell>
          <cell r="L2956" t="str">
            <v>不合格</v>
          </cell>
          <cell r="M2956" t="str">
            <v>孙家孟/朱绪涛</v>
          </cell>
          <cell r="N2956" t="str">
            <v>20190103-1-14</v>
          </cell>
          <cell r="O2956" t="str">
            <v>Qsep 100</v>
          </cell>
          <cell r="Q2956">
            <v>658</v>
          </cell>
          <cell r="R2956">
            <v>1.0145999999999999</v>
          </cell>
        </row>
        <row r="2957">
          <cell r="E2957" t="str">
            <v>HFMET190102A0015-107-114</v>
          </cell>
          <cell r="F2957" t="str">
            <v>Meta 59，A01</v>
          </cell>
          <cell r="G2957">
            <v>20</v>
          </cell>
          <cell r="I2957">
            <v>617</v>
          </cell>
          <cell r="J2957">
            <v>4.74</v>
          </cell>
          <cell r="K2957">
            <v>11.32</v>
          </cell>
          <cell r="L2957" t="str">
            <v>合格</v>
          </cell>
          <cell r="M2957" t="str">
            <v>孙家孟/朱绪涛</v>
          </cell>
          <cell r="N2957" t="str">
            <v>20190103-1-15</v>
          </cell>
          <cell r="O2957" t="str">
            <v>Qsep 100</v>
          </cell>
          <cell r="Q2957">
            <v>617</v>
          </cell>
          <cell r="R2957">
            <v>8.4372000000000007</v>
          </cell>
        </row>
        <row r="2958">
          <cell r="E2958" t="str">
            <v>HFMET190102A0016-108-114</v>
          </cell>
          <cell r="F2958" t="str">
            <v>Meta 59，A02</v>
          </cell>
          <cell r="G2958">
            <v>20</v>
          </cell>
          <cell r="I2958">
            <v>578</v>
          </cell>
          <cell r="J2958">
            <v>30.88</v>
          </cell>
          <cell r="K2958">
            <v>74.87</v>
          </cell>
          <cell r="L2958" t="str">
            <v>合格</v>
          </cell>
          <cell r="M2958" t="str">
            <v>孙家孟/朱绪涛</v>
          </cell>
          <cell r="N2958" t="str">
            <v>20190103-1-16</v>
          </cell>
          <cell r="O2958" t="str">
            <v>Qsep 100</v>
          </cell>
          <cell r="Q2958">
            <v>578</v>
          </cell>
          <cell r="R2958">
            <v>54.9664</v>
          </cell>
        </row>
        <row r="2959">
          <cell r="E2959" t="str">
            <v>HFMET190102A0017-101-115</v>
          </cell>
          <cell r="F2959" t="str">
            <v>Meta 59，A03</v>
          </cell>
          <cell r="G2959">
            <v>20</v>
          </cell>
          <cell r="I2959">
            <v>599</v>
          </cell>
          <cell r="J2959">
            <v>16.93</v>
          </cell>
          <cell r="K2959">
            <v>39.909999999999997</v>
          </cell>
          <cell r="L2959" t="str">
            <v>合格</v>
          </cell>
          <cell r="M2959" t="str">
            <v>孙家孟/朱绪涛</v>
          </cell>
          <cell r="N2959" t="str">
            <v>20190103-1-17</v>
          </cell>
          <cell r="O2959" t="str">
            <v>Qsep 100</v>
          </cell>
          <cell r="Q2959">
            <v>599</v>
          </cell>
          <cell r="R2959">
            <v>30.135400000000001</v>
          </cell>
        </row>
        <row r="2960">
          <cell r="E2960" t="str">
            <v>HFMET190102A0018-102-115</v>
          </cell>
          <cell r="F2960" t="str">
            <v>Meta 59，A04</v>
          </cell>
          <cell r="G2960">
            <v>20</v>
          </cell>
          <cell r="I2960">
            <v>666</v>
          </cell>
          <cell r="J2960">
            <v>0.59</v>
          </cell>
          <cell r="K2960">
            <v>1.33</v>
          </cell>
          <cell r="L2960" t="str">
            <v>不合格</v>
          </cell>
          <cell r="M2960" t="str">
            <v>孙家孟/朱绪涛</v>
          </cell>
          <cell r="N2960" t="str">
            <v>20190103-1-18</v>
          </cell>
          <cell r="O2960" t="str">
            <v>Qsep 100</v>
          </cell>
          <cell r="Q2960">
            <v>666</v>
          </cell>
          <cell r="R2960">
            <v>1.0502</v>
          </cell>
        </row>
        <row r="2961">
          <cell r="E2961" t="str">
            <v>HFMET190102A0019-103-115</v>
          </cell>
          <cell r="F2961" t="str">
            <v>Meta 59，A05</v>
          </cell>
          <cell r="G2961">
            <v>20</v>
          </cell>
          <cell r="I2961">
            <v>617</v>
          </cell>
          <cell r="J2961">
            <v>5.3</v>
          </cell>
          <cell r="K2961">
            <v>12.55</v>
          </cell>
          <cell r="L2961" t="str">
            <v>合格</v>
          </cell>
          <cell r="M2961" t="str">
            <v>孙家孟/朱绪涛</v>
          </cell>
          <cell r="N2961" t="str">
            <v>20190103-1-19</v>
          </cell>
          <cell r="O2961" t="str">
            <v>Qsep 100</v>
          </cell>
          <cell r="Q2961">
            <v>617</v>
          </cell>
          <cell r="R2961">
            <v>9.4339999999999993</v>
          </cell>
        </row>
        <row r="2962">
          <cell r="E2962" t="str">
            <v>HFMET190102A0020-104-115</v>
          </cell>
          <cell r="F2962" t="str">
            <v>Meta 59，A06</v>
          </cell>
          <cell r="G2962">
            <v>20</v>
          </cell>
          <cell r="I2962">
            <v>671</v>
          </cell>
          <cell r="J2962">
            <v>0.11</v>
          </cell>
          <cell r="K2962">
            <v>0.26</v>
          </cell>
          <cell r="L2962" t="str">
            <v>不合格</v>
          </cell>
          <cell r="M2962" t="str">
            <v>孙家孟/朱绪涛</v>
          </cell>
          <cell r="N2962" t="str">
            <v>20190103-1-20</v>
          </cell>
          <cell r="O2962" t="str">
            <v>Qsep 100</v>
          </cell>
          <cell r="Q2962">
            <v>671</v>
          </cell>
          <cell r="R2962">
            <v>0.1958</v>
          </cell>
        </row>
        <row r="2963">
          <cell r="E2963" t="str">
            <v>HFMET190102A0021-105-115</v>
          </cell>
          <cell r="F2963" t="str">
            <v>Meta 59，A07</v>
          </cell>
          <cell r="G2963">
            <v>20</v>
          </cell>
          <cell r="I2963">
            <v>638</v>
          </cell>
          <cell r="J2963">
            <v>1.1399999999999999</v>
          </cell>
          <cell r="K2963">
            <v>2.65</v>
          </cell>
          <cell r="L2963" t="str">
            <v>合格</v>
          </cell>
          <cell r="M2963" t="str">
            <v>孙家孟/朱绪涛</v>
          </cell>
          <cell r="N2963" t="str">
            <v>20190103-1-21</v>
          </cell>
          <cell r="O2963" t="str">
            <v>Qsep 100</v>
          </cell>
          <cell r="Q2963">
            <v>638</v>
          </cell>
          <cell r="R2963">
            <v>2.0291999999999999</v>
          </cell>
        </row>
        <row r="2964">
          <cell r="E2964" t="str">
            <v>HFMET190102A0022-106-115</v>
          </cell>
          <cell r="F2964" t="str">
            <v>Meta 59，A08</v>
          </cell>
          <cell r="G2964">
            <v>20</v>
          </cell>
          <cell r="I2964">
            <v>659</v>
          </cell>
          <cell r="J2964">
            <v>0.39</v>
          </cell>
          <cell r="K2964">
            <v>0.88</v>
          </cell>
          <cell r="L2964" t="str">
            <v>不合格</v>
          </cell>
          <cell r="M2964" t="str">
            <v>孙家孟/朱绪涛</v>
          </cell>
          <cell r="N2964" t="str">
            <v>20190103-1-22</v>
          </cell>
          <cell r="O2964" t="str">
            <v>Qsep 100</v>
          </cell>
          <cell r="Q2964">
            <v>659</v>
          </cell>
          <cell r="R2964">
            <v>0.69420000000000004</v>
          </cell>
        </row>
        <row r="2965">
          <cell r="E2965" t="str">
            <v>HFMET190102A0023-107-115</v>
          </cell>
          <cell r="F2965" t="str">
            <v>Meta 59，A09</v>
          </cell>
          <cell r="G2965">
            <v>20</v>
          </cell>
          <cell r="I2965">
            <v>581</v>
          </cell>
          <cell r="J2965">
            <v>14.25</v>
          </cell>
          <cell r="K2965">
            <v>34.9</v>
          </cell>
          <cell r="L2965" t="str">
            <v>合格</v>
          </cell>
          <cell r="M2965" t="str">
            <v>孙家孟/朱绪涛</v>
          </cell>
          <cell r="N2965" t="str">
            <v>20190103-1-23</v>
          </cell>
          <cell r="O2965" t="str">
            <v>Qsep 100</v>
          </cell>
          <cell r="Q2965">
            <v>581</v>
          </cell>
          <cell r="R2965">
            <v>25.365000000000002</v>
          </cell>
        </row>
        <row r="2966">
          <cell r="E2966" t="str">
            <v>HFMET190102A0024-108-115</v>
          </cell>
          <cell r="F2966" t="str">
            <v>Meta 59，A10</v>
          </cell>
          <cell r="G2966">
            <v>20</v>
          </cell>
          <cell r="I2966">
            <v>597</v>
          </cell>
          <cell r="J2966">
            <v>13.31</v>
          </cell>
          <cell r="K2966">
            <v>31.64</v>
          </cell>
          <cell r="L2966" t="str">
            <v>合格</v>
          </cell>
          <cell r="M2966" t="str">
            <v>孙家孟/朱绪涛</v>
          </cell>
          <cell r="N2966" t="str">
            <v>20190103-1-24</v>
          </cell>
          <cell r="O2966" t="str">
            <v>Qsep 100</v>
          </cell>
          <cell r="Q2966">
            <v>597</v>
          </cell>
          <cell r="R2966">
            <v>23.691800000000001</v>
          </cell>
        </row>
        <row r="2967">
          <cell r="E2967" t="str">
            <v>HFMET190102A0025-101-113</v>
          </cell>
          <cell r="F2967" t="str">
            <v>Meta 59，A11</v>
          </cell>
          <cell r="G2967">
            <v>20</v>
          </cell>
          <cell r="I2967">
            <v>651</v>
          </cell>
          <cell r="J2967">
            <v>0.61</v>
          </cell>
          <cell r="K2967">
            <v>1.39</v>
          </cell>
          <cell r="L2967" t="str">
            <v>不合格</v>
          </cell>
          <cell r="M2967" t="str">
            <v>孙家孟/朱绪涛</v>
          </cell>
          <cell r="N2967" t="str">
            <v>20190103-1-25</v>
          </cell>
          <cell r="O2967" t="str">
            <v>Qsep 100</v>
          </cell>
          <cell r="Q2967">
            <v>651</v>
          </cell>
          <cell r="R2967">
            <v>1.0858000000000001</v>
          </cell>
        </row>
        <row r="2968">
          <cell r="E2968" t="str">
            <v>HFMET190102A0026-102-113</v>
          </cell>
          <cell r="F2968" t="str">
            <v>Meta 59，A12</v>
          </cell>
          <cell r="G2968">
            <v>20</v>
          </cell>
          <cell r="I2968">
            <v>620</v>
          </cell>
          <cell r="J2968">
            <v>5.44</v>
          </cell>
          <cell r="K2968">
            <v>12.87</v>
          </cell>
          <cell r="L2968" t="str">
            <v>合格</v>
          </cell>
          <cell r="M2968" t="str">
            <v>孙家孟/朱绪涛</v>
          </cell>
          <cell r="N2968" t="str">
            <v>20190103-1-26</v>
          </cell>
          <cell r="O2968" t="str">
            <v>Qsep 100</v>
          </cell>
          <cell r="Q2968">
            <v>620</v>
          </cell>
          <cell r="R2968">
            <v>9.6832000000000011</v>
          </cell>
        </row>
        <row r="2969">
          <cell r="E2969" t="str">
            <v>HFMET190102A0027-103-113</v>
          </cell>
          <cell r="F2969" t="str">
            <v>Meta 59，B01</v>
          </cell>
          <cell r="G2969">
            <v>20</v>
          </cell>
          <cell r="I2969">
            <v>665</v>
          </cell>
          <cell r="J2969">
            <v>0.32</v>
          </cell>
          <cell r="K2969">
            <v>0.73</v>
          </cell>
          <cell r="L2969" t="str">
            <v>不合格</v>
          </cell>
          <cell r="M2969" t="str">
            <v>孙家孟/朱绪涛</v>
          </cell>
          <cell r="N2969" t="str">
            <v>20190103-1-27</v>
          </cell>
          <cell r="O2969" t="str">
            <v>Qsep 100</v>
          </cell>
          <cell r="Q2969">
            <v>665</v>
          </cell>
          <cell r="R2969">
            <v>0.5696</v>
          </cell>
        </row>
        <row r="2970">
          <cell r="E2970" t="str">
            <v>HFMET190102A0028-104-113</v>
          </cell>
          <cell r="F2970" t="str">
            <v>Meta 59，B02</v>
          </cell>
          <cell r="G2970">
            <v>20</v>
          </cell>
          <cell r="I2970" t="str">
            <v>无目的峰</v>
          </cell>
          <cell r="J2970">
            <v>0.02</v>
          </cell>
          <cell r="K2970">
            <v>0.04</v>
          </cell>
          <cell r="L2970" t="str">
            <v>不合格</v>
          </cell>
          <cell r="M2970" t="str">
            <v>孙家孟/朱绪涛</v>
          </cell>
          <cell r="N2970" t="str">
            <v>20190103-1-28</v>
          </cell>
          <cell r="O2970" t="str">
            <v>Qsep 100</v>
          </cell>
          <cell r="Q2970" t="str">
            <v>无目的峰</v>
          </cell>
          <cell r="R2970">
            <v>3.56E-2</v>
          </cell>
        </row>
        <row r="2971">
          <cell r="E2971" t="str">
            <v>HFMET190102A0029-105-113</v>
          </cell>
          <cell r="F2971" t="str">
            <v>Meta 59，B03</v>
          </cell>
          <cell r="G2971">
            <v>20</v>
          </cell>
          <cell r="I2971" t="str">
            <v>无目的峰</v>
          </cell>
          <cell r="J2971">
            <v>0.06</v>
          </cell>
          <cell r="K2971">
            <v>0.13</v>
          </cell>
          <cell r="L2971" t="str">
            <v>不合格</v>
          </cell>
          <cell r="M2971" t="str">
            <v>孙家孟/朱绪涛</v>
          </cell>
          <cell r="N2971" t="str">
            <v>20190103-1-29</v>
          </cell>
          <cell r="O2971" t="str">
            <v>Qsep 100</v>
          </cell>
          <cell r="Q2971" t="str">
            <v>无目的峰</v>
          </cell>
          <cell r="R2971">
            <v>0.10679999999999999</v>
          </cell>
        </row>
        <row r="2972">
          <cell r="E2972" t="str">
            <v>HFMET190102A0030-106-113</v>
          </cell>
          <cell r="F2972" t="str">
            <v>Meta 59，B04</v>
          </cell>
          <cell r="G2972">
            <v>20</v>
          </cell>
          <cell r="I2972">
            <v>657</v>
          </cell>
          <cell r="J2972">
            <v>1.85</v>
          </cell>
          <cell r="K2972">
            <v>4.2</v>
          </cell>
          <cell r="L2972" t="str">
            <v>合格</v>
          </cell>
          <cell r="M2972" t="str">
            <v>孙家孟/朱绪涛</v>
          </cell>
          <cell r="N2972" t="str">
            <v>20190103-1-30</v>
          </cell>
          <cell r="O2972" t="str">
            <v>Qsep 100</v>
          </cell>
          <cell r="Q2972">
            <v>657</v>
          </cell>
          <cell r="R2972">
            <v>3.2930000000000001</v>
          </cell>
        </row>
        <row r="2973">
          <cell r="E2973" t="str">
            <v>NTC-106-113</v>
          </cell>
          <cell r="F2973" t="str">
            <v>Meta 59，B05</v>
          </cell>
          <cell r="G2973">
            <v>20</v>
          </cell>
          <cell r="I2973" t="str">
            <v>无目的峰</v>
          </cell>
          <cell r="J2973">
            <v>0.02</v>
          </cell>
          <cell r="K2973">
            <v>0.05</v>
          </cell>
          <cell r="L2973" t="str">
            <v>合格</v>
          </cell>
          <cell r="M2973" t="str">
            <v>孙家孟/朱绪涛</v>
          </cell>
          <cell r="N2973" t="str">
            <v>20190103-1-31</v>
          </cell>
          <cell r="O2973" t="str">
            <v>Qsep 100</v>
          </cell>
          <cell r="Q2973" t="str">
            <v>无目的峰</v>
          </cell>
          <cell r="R2973">
            <v>3.56E-2</v>
          </cell>
        </row>
        <row r="2974">
          <cell r="E2974" t="str">
            <v>HFMET190102A0032-59-78</v>
          </cell>
          <cell r="F2974" t="str">
            <v>Meta 59，B06</v>
          </cell>
          <cell r="G2974">
            <v>20</v>
          </cell>
          <cell r="I2974" t="str">
            <v>309/374</v>
          </cell>
          <cell r="J2974">
            <v>4.8</v>
          </cell>
          <cell r="K2974">
            <v>21.18</v>
          </cell>
          <cell r="L2974" t="str">
            <v>合格</v>
          </cell>
          <cell r="M2974" t="str">
            <v>孙家孟/朱绪涛</v>
          </cell>
          <cell r="N2974" t="str">
            <v>20190103-1-32</v>
          </cell>
          <cell r="O2974" t="str">
            <v>Qsep 100</v>
          </cell>
          <cell r="Q2974" t="str">
            <v>309/374</v>
          </cell>
          <cell r="R2974">
            <v>8.5440000000000005</v>
          </cell>
        </row>
        <row r="2975">
          <cell r="E2975" t="str">
            <v>HFMET190102A0033-60-78</v>
          </cell>
          <cell r="F2975" t="str">
            <v>Meta 59，B07</v>
          </cell>
          <cell r="G2975">
            <v>20</v>
          </cell>
          <cell r="I2975">
            <v>378</v>
          </cell>
          <cell r="J2975">
            <v>10.210000000000001</v>
          </cell>
          <cell r="K2975">
            <v>41.37</v>
          </cell>
          <cell r="L2975" t="str">
            <v>合格</v>
          </cell>
          <cell r="M2975" t="str">
            <v>孙家孟/朱绪涛</v>
          </cell>
          <cell r="N2975" t="str">
            <v>20190103-1-33</v>
          </cell>
          <cell r="O2975" t="str">
            <v>Qsep 100</v>
          </cell>
          <cell r="Q2975">
            <v>378</v>
          </cell>
          <cell r="R2975">
            <v>18.173800000000004</v>
          </cell>
        </row>
        <row r="2976">
          <cell r="E2976" t="str">
            <v>HFMET190102A0034-61-78</v>
          </cell>
          <cell r="F2976" t="str">
            <v>Meta 59，B08</v>
          </cell>
          <cell r="G2976">
            <v>20</v>
          </cell>
          <cell r="I2976">
            <v>313</v>
          </cell>
          <cell r="J2976">
            <v>0.2</v>
          </cell>
          <cell r="K2976">
            <v>0.83</v>
          </cell>
          <cell r="L2976" t="str">
            <v>不合格</v>
          </cell>
          <cell r="M2976" t="str">
            <v>孙家孟/朱绪涛</v>
          </cell>
          <cell r="N2976" t="str">
            <v>20190103-1-34</v>
          </cell>
          <cell r="O2976" t="str">
            <v>Qsep 100</v>
          </cell>
          <cell r="Q2976">
            <v>313</v>
          </cell>
          <cell r="R2976">
            <v>0.35600000000000004</v>
          </cell>
        </row>
        <row r="2977">
          <cell r="E2977" t="str">
            <v>HFMET190102A0035-62-78</v>
          </cell>
          <cell r="F2977" t="str">
            <v>Meta 59，B09</v>
          </cell>
          <cell r="G2977">
            <v>20</v>
          </cell>
          <cell r="I2977">
            <v>315</v>
          </cell>
          <cell r="J2977">
            <v>0.34</v>
          </cell>
          <cell r="K2977">
            <v>1.37</v>
          </cell>
          <cell r="L2977" t="str">
            <v>不合格</v>
          </cell>
          <cell r="M2977" t="str">
            <v>孙家孟/朱绪涛</v>
          </cell>
          <cell r="N2977" t="str">
            <v>20190103-1-35</v>
          </cell>
          <cell r="O2977" t="str">
            <v>Qsep 100</v>
          </cell>
          <cell r="Q2977">
            <v>315</v>
          </cell>
          <cell r="R2977">
            <v>0.60520000000000007</v>
          </cell>
        </row>
        <row r="2978">
          <cell r="E2978" t="str">
            <v>HFMET190102A0036-63-78</v>
          </cell>
          <cell r="F2978" t="str">
            <v>Meta 59，B10</v>
          </cell>
          <cell r="G2978">
            <v>20</v>
          </cell>
          <cell r="I2978">
            <v>274</v>
          </cell>
          <cell r="J2978">
            <v>1.38</v>
          </cell>
          <cell r="K2978">
            <v>5.46</v>
          </cell>
          <cell r="L2978" t="str">
            <v>合格</v>
          </cell>
          <cell r="M2978" t="str">
            <v>孙家孟/朱绪涛</v>
          </cell>
          <cell r="N2978" t="str">
            <v>20190103-1-36</v>
          </cell>
          <cell r="O2978" t="str">
            <v>Qsep 100</v>
          </cell>
          <cell r="Q2978">
            <v>274</v>
          </cell>
          <cell r="R2978">
            <v>2.4563999999999999</v>
          </cell>
        </row>
        <row r="2979">
          <cell r="E2979" t="str">
            <v>HFMET190102A0037-64-78</v>
          </cell>
          <cell r="F2979" t="str">
            <v>Meta 59，B11</v>
          </cell>
          <cell r="G2979">
            <v>20</v>
          </cell>
          <cell r="I2979" t="str">
            <v>422/318</v>
          </cell>
          <cell r="J2979">
            <v>7.03</v>
          </cell>
          <cell r="K2979">
            <v>26.99</v>
          </cell>
          <cell r="L2979" t="str">
            <v>合格</v>
          </cell>
          <cell r="M2979" t="str">
            <v>孙家孟/朱绪涛</v>
          </cell>
          <cell r="N2979" t="str">
            <v>20190103-1-37</v>
          </cell>
          <cell r="O2979" t="str">
            <v>Qsep 100</v>
          </cell>
          <cell r="Q2979" t="str">
            <v>422/318</v>
          </cell>
          <cell r="R2979">
            <v>12.513400000000001</v>
          </cell>
        </row>
        <row r="2980">
          <cell r="E2980" t="str">
            <v>HFMET190102A0038-65-78</v>
          </cell>
          <cell r="F2980" t="str">
            <v>Meta 59，B12</v>
          </cell>
          <cell r="G2980">
            <v>20</v>
          </cell>
          <cell r="I2980" t="str">
            <v>318/445</v>
          </cell>
          <cell r="J2980">
            <v>2.0699999999999998</v>
          </cell>
          <cell r="K2980">
            <v>9.25</v>
          </cell>
          <cell r="L2980" t="str">
            <v>合格</v>
          </cell>
          <cell r="M2980" t="str">
            <v>孙家孟/朱绪涛</v>
          </cell>
          <cell r="N2980" t="str">
            <v>20190103-1-38</v>
          </cell>
          <cell r="O2980" t="str">
            <v>Qsep 100</v>
          </cell>
          <cell r="Q2980" t="str">
            <v>318/445</v>
          </cell>
          <cell r="R2980">
            <v>3.6845999999999997</v>
          </cell>
        </row>
        <row r="2981">
          <cell r="E2981" t="str">
            <v>HFMET190102A0039-66-78</v>
          </cell>
          <cell r="F2981" t="str">
            <v>Meta 59，C01</v>
          </cell>
          <cell r="G2981">
            <v>20</v>
          </cell>
          <cell r="I2981" t="str">
            <v>无目的峰</v>
          </cell>
          <cell r="J2981">
            <v>0.3</v>
          </cell>
          <cell r="K2981">
            <v>1.24</v>
          </cell>
          <cell r="L2981" t="str">
            <v>不合格</v>
          </cell>
          <cell r="M2981" t="str">
            <v>孙家孟/朱绪涛</v>
          </cell>
          <cell r="N2981" t="str">
            <v>20190103-1-39</v>
          </cell>
          <cell r="O2981" t="str">
            <v>Qsep 100</v>
          </cell>
          <cell r="Q2981" t="str">
            <v>无目的峰</v>
          </cell>
          <cell r="R2981">
            <v>0.53400000000000003</v>
          </cell>
        </row>
        <row r="2982">
          <cell r="E2982" t="str">
            <v>HFMET190102A0040-59-79</v>
          </cell>
          <cell r="F2982" t="str">
            <v>Meta 59，C02</v>
          </cell>
          <cell r="G2982">
            <v>20</v>
          </cell>
          <cell r="I2982" t="str">
            <v>无目的峰</v>
          </cell>
          <cell r="J2982">
            <v>0.01</v>
          </cell>
          <cell r="K2982">
            <v>0.03</v>
          </cell>
          <cell r="L2982" t="str">
            <v>不合格</v>
          </cell>
          <cell r="M2982" t="str">
            <v>孙家孟/朱绪涛</v>
          </cell>
          <cell r="N2982" t="str">
            <v>20190103-1-40</v>
          </cell>
          <cell r="O2982" t="str">
            <v>Qsep 100</v>
          </cell>
          <cell r="Q2982" t="str">
            <v>无目的峰</v>
          </cell>
          <cell r="R2982">
            <v>1.78E-2</v>
          </cell>
        </row>
        <row r="2983">
          <cell r="E2983" t="str">
            <v>HFMET190102A0041-60-79</v>
          </cell>
          <cell r="F2983" t="str">
            <v>Meta 59，C03</v>
          </cell>
          <cell r="G2983">
            <v>20</v>
          </cell>
          <cell r="I2983" t="str">
            <v>无目的峰</v>
          </cell>
          <cell r="J2983">
            <v>0.02</v>
          </cell>
          <cell r="K2983">
            <v>0.06</v>
          </cell>
          <cell r="L2983" t="str">
            <v>不合格</v>
          </cell>
          <cell r="M2983" t="str">
            <v>孙家孟/朱绪涛</v>
          </cell>
          <cell r="N2983" t="str">
            <v>20190103-1-41</v>
          </cell>
          <cell r="O2983" t="str">
            <v>Qsep 100</v>
          </cell>
          <cell r="Q2983" t="str">
            <v>无目的峰</v>
          </cell>
          <cell r="R2983">
            <v>3.56E-2</v>
          </cell>
        </row>
        <row r="2984">
          <cell r="E2984" t="str">
            <v>HFMET190102A0042-61-79</v>
          </cell>
          <cell r="F2984" t="str">
            <v>Meta 59，C04</v>
          </cell>
          <cell r="G2984">
            <v>20</v>
          </cell>
          <cell r="I2984">
            <v>314</v>
          </cell>
          <cell r="J2984">
            <v>0.53</v>
          </cell>
          <cell r="K2984">
            <v>2.4</v>
          </cell>
          <cell r="L2984" t="str">
            <v>不合格</v>
          </cell>
          <cell r="M2984" t="str">
            <v>孙家孟/朱绪涛</v>
          </cell>
          <cell r="N2984" t="str">
            <v>20190103-1-42</v>
          </cell>
          <cell r="O2984" t="str">
            <v>Qsep 100</v>
          </cell>
          <cell r="Q2984">
            <v>314</v>
          </cell>
          <cell r="R2984">
            <v>0.94340000000000002</v>
          </cell>
        </row>
        <row r="2985">
          <cell r="E2985" t="str">
            <v>HFMET190102A0043-62-79</v>
          </cell>
          <cell r="F2985" t="str">
            <v>Meta 59，C05</v>
          </cell>
          <cell r="G2985">
            <v>20</v>
          </cell>
          <cell r="I2985" t="str">
            <v>无目的峰</v>
          </cell>
          <cell r="J2985">
            <v>0.02</v>
          </cell>
          <cell r="K2985">
            <v>7.0000000000000007E-2</v>
          </cell>
          <cell r="L2985" t="str">
            <v>不合格</v>
          </cell>
          <cell r="M2985" t="str">
            <v>孙家孟/朱绪涛</v>
          </cell>
          <cell r="N2985" t="str">
            <v>20190103-1-43</v>
          </cell>
          <cell r="O2985" t="str">
            <v>Qsep 100</v>
          </cell>
          <cell r="Q2985" t="str">
            <v>无目的峰</v>
          </cell>
          <cell r="R2985">
            <v>3.56E-2</v>
          </cell>
        </row>
        <row r="2986">
          <cell r="E2986" t="str">
            <v>HFMET190102A0044-63-79</v>
          </cell>
          <cell r="F2986" t="str">
            <v>Meta 59，C06</v>
          </cell>
          <cell r="G2986">
            <v>20</v>
          </cell>
          <cell r="I2986">
            <v>439</v>
          </cell>
          <cell r="J2986">
            <v>0.12</v>
          </cell>
          <cell r="K2986">
            <v>0.48</v>
          </cell>
          <cell r="L2986" t="str">
            <v>不合格</v>
          </cell>
          <cell r="M2986" t="str">
            <v>孙家孟/朱绪涛</v>
          </cell>
          <cell r="N2986" t="str">
            <v>20190103-1-44</v>
          </cell>
          <cell r="O2986" t="str">
            <v>Qsep 100</v>
          </cell>
          <cell r="Q2986">
            <v>439</v>
          </cell>
          <cell r="R2986">
            <v>0.21359999999999998</v>
          </cell>
        </row>
        <row r="2987">
          <cell r="E2987" t="str">
            <v>HFMET190102A0045-64-79</v>
          </cell>
          <cell r="F2987" t="str">
            <v>Meta 59，C07</v>
          </cell>
          <cell r="G2987">
            <v>20</v>
          </cell>
          <cell r="I2987" t="str">
            <v>无目的峰</v>
          </cell>
          <cell r="J2987">
            <v>0.04</v>
          </cell>
          <cell r="K2987">
            <v>0.16</v>
          </cell>
          <cell r="L2987" t="str">
            <v>不合格</v>
          </cell>
          <cell r="M2987" t="str">
            <v>孙家孟/朱绪涛</v>
          </cell>
          <cell r="N2987" t="str">
            <v>20190103-1-45</v>
          </cell>
          <cell r="O2987" t="str">
            <v>Qsep 100</v>
          </cell>
          <cell r="Q2987" t="str">
            <v>无目的峰</v>
          </cell>
          <cell r="R2987">
            <v>7.1199999999999999E-2</v>
          </cell>
        </row>
        <row r="2988">
          <cell r="E2988" t="str">
            <v>HFMET190102A0046-65-79</v>
          </cell>
          <cell r="F2988" t="str">
            <v>Meta 59，C08</v>
          </cell>
          <cell r="G2988">
            <v>20</v>
          </cell>
          <cell r="I2988" t="str">
            <v>无目的峰</v>
          </cell>
          <cell r="J2988">
            <v>0.01</v>
          </cell>
          <cell r="K2988">
            <v>0.04</v>
          </cell>
          <cell r="L2988" t="str">
            <v>不合格</v>
          </cell>
          <cell r="M2988" t="str">
            <v>孙家孟/朱绪涛</v>
          </cell>
          <cell r="N2988" t="str">
            <v>20190103-1-46</v>
          </cell>
          <cell r="O2988" t="str">
            <v>Qsep 100</v>
          </cell>
          <cell r="Q2988" t="str">
            <v>无目的峰</v>
          </cell>
          <cell r="R2988">
            <v>1.78E-2</v>
          </cell>
        </row>
        <row r="2989">
          <cell r="E2989" t="str">
            <v>HFMET190102A0047-66-79</v>
          </cell>
          <cell r="F2989" t="str">
            <v>Meta 59，C09</v>
          </cell>
          <cell r="G2989">
            <v>20</v>
          </cell>
          <cell r="I2989" t="str">
            <v>无目的峰</v>
          </cell>
          <cell r="J2989">
            <v>0.06</v>
          </cell>
          <cell r="K2989">
            <v>0.22</v>
          </cell>
          <cell r="L2989" t="str">
            <v>不合格</v>
          </cell>
          <cell r="M2989" t="str">
            <v>孙家孟/朱绪涛</v>
          </cell>
          <cell r="N2989" t="str">
            <v>20190103-1-47</v>
          </cell>
          <cell r="O2989" t="str">
            <v>Qsep 100</v>
          </cell>
          <cell r="Q2989" t="str">
            <v>无目的峰</v>
          </cell>
          <cell r="R2989">
            <v>0.10679999999999999</v>
          </cell>
        </row>
        <row r="2990">
          <cell r="E2990" t="str">
            <v>HFMET190102A0048-59-80</v>
          </cell>
          <cell r="F2990" t="str">
            <v>Meta 59，C10</v>
          </cell>
          <cell r="G2990">
            <v>20</v>
          </cell>
          <cell r="I2990">
            <v>440</v>
          </cell>
          <cell r="J2990">
            <v>2.0099999999999998</v>
          </cell>
          <cell r="K2990">
            <v>7.24</v>
          </cell>
          <cell r="L2990" t="str">
            <v>合格</v>
          </cell>
          <cell r="M2990" t="str">
            <v>孙家孟/朱绪涛</v>
          </cell>
          <cell r="N2990" t="str">
            <v>20190103-1-48</v>
          </cell>
          <cell r="O2990" t="str">
            <v>Qsep 100</v>
          </cell>
          <cell r="Q2990">
            <v>440</v>
          </cell>
          <cell r="R2990">
            <v>3.5777999999999999</v>
          </cell>
        </row>
        <row r="2991">
          <cell r="E2991" t="str">
            <v>HFMET190102A0049-60-80</v>
          </cell>
          <cell r="F2991" t="str">
            <v>Meta 59，C11</v>
          </cell>
          <cell r="G2991">
            <v>20</v>
          </cell>
          <cell r="I2991" t="str">
            <v>无目的峰</v>
          </cell>
          <cell r="J2991">
            <v>0.05</v>
          </cell>
          <cell r="K2991">
            <v>0.19</v>
          </cell>
          <cell r="L2991" t="str">
            <v>不合格</v>
          </cell>
          <cell r="M2991" t="str">
            <v>孙家孟/朱绪涛</v>
          </cell>
          <cell r="N2991" t="str">
            <v>20190103-1-49</v>
          </cell>
          <cell r="O2991" t="str">
            <v>Qsep 100</v>
          </cell>
          <cell r="Q2991" t="str">
            <v>无目的峰</v>
          </cell>
          <cell r="R2991">
            <v>8.900000000000001E-2</v>
          </cell>
        </row>
        <row r="2992">
          <cell r="E2992" t="str">
            <v>HFMET190102A0050-61-80</v>
          </cell>
          <cell r="F2992" t="str">
            <v>Meta 59，C12</v>
          </cell>
          <cell r="G2992">
            <v>20</v>
          </cell>
          <cell r="I2992">
            <v>367</v>
          </cell>
          <cell r="J2992">
            <v>0.3</v>
          </cell>
          <cell r="K2992">
            <v>1.26</v>
          </cell>
          <cell r="L2992" t="str">
            <v>不合格</v>
          </cell>
          <cell r="M2992" t="str">
            <v>孙家孟/朱绪涛</v>
          </cell>
          <cell r="N2992" t="str">
            <v>20190103-1-50</v>
          </cell>
          <cell r="O2992" t="str">
            <v>Qsep 100</v>
          </cell>
          <cell r="Q2992">
            <v>367</v>
          </cell>
          <cell r="R2992">
            <v>0.53400000000000003</v>
          </cell>
        </row>
        <row r="2993">
          <cell r="E2993" t="str">
            <v>HFMET190102A0051-62-80</v>
          </cell>
          <cell r="F2993" t="str">
            <v>Meta 59，D01</v>
          </cell>
          <cell r="G2993">
            <v>20</v>
          </cell>
          <cell r="I2993" t="str">
            <v>无目的峰</v>
          </cell>
          <cell r="J2993">
            <v>0.01</v>
          </cell>
          <cell r="K2993">
            <v>0.02</v>
          </cell>
          <cell r="L2993" t="str">
            <v>不合格</v>
          </cell>
          <cell r="M2993" t="str">
            <v>孙家孟/朱绪涛</v>
          </cell>
          <cell r="N2993" t="str">
            <v>20190103-1-51</v>
          </cell>
          <cell r="O2993" t="str">
            <v>Qsep 100</v>
          </cell>
          <cell r="Q2993" t="str">
            <v>无目的峰</v>
          </cell>
          <cell r="R2993">
            <v>1.78E-2</v>
          </cell>
        </row>
        <row r="2994">
          <cell r="E2994" t="str">
            <v>HFMET190102A0052-63-80</v>
          </cell>
          <cell r="F2994" t="str">
            <v>Meta 59，D02</v>
          </cell>
          <cell r="G2994">
            <v>20</v>
          </cell>
          <cell r="I2994" t="str">
            <v>无目的峰</v>
          </cell>
          <cell r="J2994">
            <v>0.02</v>
          </cell>
          <cell r="K2994">
            <v>0.08</v>
          </cell>
          <cell r="L2994" t="str">
            <v>不合格</v>
          </cell>
          <cell r="M2994" t="str">
            <v>孙家孟/朱绪涛</v>
          </cell>
          <cell r="N2994" t="str">
            <v>20190103-1-52</v>
          </cell>
          <cell r="O2994" t="str">
            <v>Qsep 100</v>
          </cell>
          <cell r="Q2994" t="str">
            <v>无目的峰</v>
          </cell>
          <cell r="R2994">
            <v>3.56E-2</v>
          </cell>
        </row>
        <row r="2995">
          <cell r="E2995" t="str">
            <v>HFMET190102A0053-64-80</v>
          </cell>
          <cell r="F2995" t="str">
            <v>Meta 59，D03</v>
          </cell>
          <cell r="G2995">
            <v>20</v>
          </cell>
          <cell r="I2995" t="str">
            <v>无目的峰</v>
          </cell>
          <cell r="J2995">
            <v>7.0000000000000007E-2</v>
          </cell>
          <cell r="K2995">
            <v>0.26</v>
          </cell>
          <cell r="L2995" t="str">
            <v>不合格</v>
          </cell>
          <cell r="M2995" t="str">
            <v>孙家孟/朱绪涛</v>
          </cell>
          <cell r="N2995" t="str">
            <v>20190103-1-53</v>
          </cell>
          <cell r="O2995" t="str">
            <v>Qsep 100</v>
          </cell>
          <cell r="Q2995" t="str">
            <v>无目的峰</v>
          </cell>
          <cell r="R2995">
            <v>0.12460000000000002</v>
          </cell>
        </row>
        <row r="2996">
          <cell r="E2996" t="str">
            <v>HFMET190102A0054-65-80</v>
          </cell>
          <cell r="F2996" t="str">
            <v>Meta 59，D04</v>
          </cell>
          <cell r="G2996">
            <v>20</v>
          </cell>
          <cell r="I2996" t="str">
            <v>无目的峰</v>
          </cell>
          <cell r="J2996">
            <v>0.05</v>
          </cell>
          <cell r="K2996">
            <v>0.18</v>
          </cell>
          <cell r="L2996" t="str">
            <v>不合格</v>
          </cell>
          <cell r="M2996" t="str">
            <v>孙家孟/朱绪涛</v>
          </cell>
          <cell r="N2996" t="str">
            <v>20190103-1-54</v>
          </cell>
          <cell r="O2996" t="str">
            <v>Qsep 100</v>
          </cell>
          <cell r="Q2996" t="str">
            <v>无目的峰</v>
          </cell>
          <cell r="R2996">
            <v>8.900000000000001E-2</v>
          </cell>
        </row>
        <row r="2997">
          <cell r="E2997" t="str">
            <v>HFMET190102A0055-66-80</v>
          </cell>
          <cell r="F2997" t="str">
            <v>Meta 59，D05</v>
          </cell>
          <cell r="G2997">
            <v>20</v>
          </cell>
          <cell r="I2997" t="str">
            <v>无目的峰</v>
          </cell>
          <cell r="J2997">
            <v>0.04</v>
          </cell>
          <cell r="K2997">
            <v>0.16</v>
          </cell>
          <cell r="L2997" t="str">
            <v>不合格</v>
          </cell>
          <cell r="M2997" t="str">
            <v>孙家孟/朱绪涛</v>
          </cell>
          <cell r="N2997" t="str">
            <v>20190103-1-55</v>
          </cell>
          <cell r="O2997" t="str">
            <v>Qsep 100</v>
          </cell>
          <cell r="Q2997" t="str">
            <v>无目的峰</v>
          </cell>
          <cell r="R2997">
            <v>7.1199999999999999E-2</v>
          </cell>
        </row>
        <row r="2998">
          <cell r="E2998" t="str">
            <v>HFMET190102A0056-59-81</v>
          </cell>
          <cell r="F2998" t="str">
            <v>Meta 59，D06</v>
          </cell>
          <cell r="G2998">
            <v>20</v>
          </cell>
          <cell r="I2998" t="str">
            <v>无目的峰</v>
          </cell>
          <cell r="J2998">
            <v>0.01</v>
          </cell>
          <cell r="K2998">
            <v>0.02</v>
          </cell>
          <cell r="L2998" t="str">
            <v>不合格</v>
          </cell>
          <cell r="M2998" t="str">
            <v>孙家孟/朱绪涛</v>
          </cell>
          <cell r="N2998" t="str">
            <v>20190103-1-56</v>
          </cell>
          <cell r="O2998" t="str">
            <v>Qsep 100</v>
          </cell>
          <cell r="Q2998" t="str">
            <v>无目的峰</v>
          </cell>
          <cell r="R2998">
            <v>1.78E-2</v>
          </cell>
        </row>
        <row r="2999">
          <cell r="E2999" t="str">
            <v>HFMET190102A0057-60-81</v>
          </cell>
          <cell r="F2999" t="str">
            <v>Meta 59，D07</v>
          </cell>
          <cell r="G2999">
            <v>20</v>
          </cell>
          <cell r="I2999" t="str">
            <v>无目的峰</v>
          </cell>
          <cell r="J2999">
            <v>0.06</v>
          </cell>
          <cell r="K2999">
            <v>0.23</v>
          </cell>
          <cell r="L2999" t="str">
            <v>不合格</v>
          </cell>
          <cell r="M2999" t="str">
            <v>孙家孟/朱绪涛</v>
          </cell>
          <cell r="N2999" t="str">
            <v>20190103-1-57</v>
          </cell>
          <cell r="O2999" t="str">
            <v>Qsep 100</v>
          </cell>
          <cell r="Q2999" t="str">
            <v>无目的峰</v>
          </cell>
          <cell r="R2999">
            <v>0.10679999999999999</v>
          </cell>
        </row>
        <row r="3000">
          <cell r="E3000" t="str">
            <v>HFMET190102A0058-61-81</v>
          </cell>
          <cell r="F3000" t="str">
            <v>Meta 59，D08</v>
          </cell>
          <cell r="G3000">
            <v>20</v>
          </cell>
          <cell r="I3000" t="str">
            <v>无目的峰</v>
          </cell>
          <cell r="J3000">
            <v>0.03</v>
          </cell>
          <cell r="K3000">
            <v>0.1</v>
          </cell>
          <cell r="L3000" t="str">
            <v>不合格</v>
          </cell>
          <cell r="M3000" t="str">
            <v>孙家孟/朱绪涛</v>
          </cell>
          <cell r="N3000" t="str">
            <v>20190103-1-58</v>
          </cell>
          <cell r="O3000" t="str">
            <v>Qsep 100</v>
          </cell>
          <cell r="Q3000" t="str">
            <v>无目的峰</v>
          </cell>
          <cell r="R3000">
            <v>5.3399999999999996E-2</v>
          </cell>
        </row>
        <row r="3001">
          <cell r="E3001" t="str">
            <v>HFMET190102A0059-62-81</v>
          </cell>
          <cell r="F3001" t="str">
            <v>Meta 59，D09</v>
          </cell>
          <cell r="G3001">
            <v>20</v>
          </cell>
          <cell r="I3001" t="str">
            <v>无目的峰</v>
          </cell>
          <cell r="J3001">
            <v>0.02</v>
          </cell>
          <cell r="K3001">
            <v>0.08</v>
          </cell>
          <cell r="L3001" t="str">
            <v>不合格</v>
          </cell>
          <cell r="M3001" t="str">
            <v>孙家孟/朱绪涛</v>
          </cell>
          <cell r="N3001" t="str">
            <v>20190103-1-59</v>
          </cell>
          <cell r="O3001" t="str">
            <v>Qsep 100</v>
          </cell>
          <cell r="Q3001" t="str">
            <v>无目的峰</v>
          </cell>
          <cell r="R3001">
            <v>3.56E-2</v>
          </cell>
        </row>
        <row r="3002">
          <cell r="E3002" t="str">
            <v>HFMET190102A0060-63-81</v>
          </cell>
          <cell r="F3002" t="str">
            <v>Meta 59，D10</v>
          </cell>
          <cell r="G3002">
            <v>20</v>
          </cell>
          <cell r="I3002" t="str">
            <v>无目的峰</v>
          </cell>
          <cell r="J3002">
            <v>0.06</v>
          </cell>
          <cell r="K3002">
            <v>0.26</v>
          </cell>
          <cell r="L3002" t="str">
            <v>不合格</v>
          </cell>
          <cell r="M3002" t="str">
            <v>孙家孟/朱绪涛</v>
          </cell>
          <cell r="N3002" t="str">
            <v>20190103-1-60</v>
          </cell>
          <cell r="O3002" t="str">
            <v>Qsep 100</v>
          </cell>
          <cell r="Q3002" t="str">
            <v>无目的峰</v>
          </cell>
          <cell r="R3002">
            <v>0.10679999999999999</v>
          </cell>
        </row>
        <row r="3003">
          <cell r="E3003" t="str">
            <v>HFMET190102A0061-64-81</v>
          </cell>
          <cell r="F3003" t="str">
            <v>Meta 59，D11</v>
          </cell>
          <cell r="G3003">
            <v>20</v>
          </cell>
          <cell r="I3003" t="str">
            <v>无目的峰</v>
          </cell>
          <cell r="J3003">
            <v>0</v>
          </cell>
          <cell r="K3003">
            <v>0.01</v>
          </cell>
          <cell r="L3003" t="str">
            <v>不合格</v>
          </cell>
          <cell r="M3003" t="str">
            <v>孙家孟/朱绪涛</v>
          </cell>
          <cell r="N3003" t="str">
            <v>20190103-1-61</v>
          </cell>
          <cell r="O3003" t="str">
            <v>Qsep 100</v>
          </cell>
          <cell r="Q3003" t="str">
            <v>无目的峰</v>
          </cell>
          <cell r="R3003">
            <v>0</v>
          </cell>
        </row>
        <row r="3004">
          <cell r="E3004" t="str">
            <v>NTC-64-81</v>
          </cell>
          <cell r="F3004" t="str">
            <v>Meta 59，D12</v>
          </cell>
          <cell r="G3004">
            <v>20</v>
          </cell>
          <cell r="I3004" t="str">
            <v>无目的峰</v>
          </cell>
          <cell r="J3004">
            <v>0.01</v>
          </cell>
          <cell r="K3004">
            <v>0.03</v>
          </cell>
          <cell r="L3004" t="str">
            <v>合格</v>
          </cell>
          <cell r="M3004" t="str">
            <v>孙家孟/朱绪涛</v>
          </cell>
          <cell r="N3004" t="str">
            <v>20190103-1-62</v>
          </cell>
          <cell r="O3004" t="str">
            <v>Qsep 100</v>
          </cell>
          <cell r="Q3004" t="str">
            <v>无目的峰</v>
          </cell>
          <cell r="R3004">
            <v>1.78E-2</v>
          </cell>
        </row>
        <row r="3005">
          <cell r="E3005" t="str">
            <v>HFMET190102B0063-101-114</v>
          </cell>
          <cell r="F3005" t="str">
            <v>Meta 59，E01</v>
          </cell>
          <cell r="G3005">
            <v>20</v>
          </cell>
          <cell r="I3005">
            <v>625</v>
          </cell>
          <cell r="J3005">
            <v>2.0299999999999998</v>
          </cell>
          <cell r="K3005">
            <v>4.84</v>
          </cell>
          <cell r="L3005" t="str">
            <v>合格</v>
          </cell>
          <cell r="M3005" t="str">
            <v>朱绪涛/孙家孟</v>
          </cell>
          <cell r="N3005" t="str">
            <v>20190107-1</v>
          </cell>
          <cell r="O3005" t="str">
            <v>Qsep 100</v>
          </cell>
          <cell r="Q3005">
            <v>625</v>
          </cell>
          <cell r="R3005">
            <v>3.7149000000000001</v>
          </cell>
        </row>
        <row r="3006">
          <cell r="E3006" t="str">
            <v>HFMET190102B0064-106-114</v>
          </cell>
          <cell r="F3006" t="str">
            <v>Meta 59，E02</v>
          </cell>
          <cell r="G3006">
            <v>20</v>
          </cell>
          <cell r="I3006">
            <v>636</v>
          </cell>
          <cell r="J3006">
            <v>1.1599999999999999</v>
          </cell>
          <cell r="K3006">
            <v>2.72</v>
          </cell>
          <cell r="L3006" t="str">
            <v>合格</v>
          </cell>
          <cell r="M3006" t="str">
            <v>朱绪涛/孙家孟</v>
          </cell>
          <cell r="N3006" t="str">
            <v>20190107-2</v>
          </cell>
          <cell r="O3006" t="str">
            <v>Qsep 100</v>
          </cell>
          <cell r="Q3006">
            <v>636</v>
          </cell>
          <cell r="R3006">
            <v>2.1227999999999998</v>
          </cell>
        </row>
        <row r="3007">
          <cell r="E3007" t="str">
            <v>HFMET190102B0065-102-115</v>
          </cell>
          <cell r="F3007" t="str">
            <v>Meta 59，E03</v>
          </cell>
          <cell r="G3007">
            <v>20</v>
          </cell>
          <cell r="I3007">
            <v>633</v>
          </cell>
          <cell r="J3007">
            <v>2.64</v>
          </cell>
          <cell r="K3007">
            <v>6.19</v>
          </cell>
          <cell r="L3007" t="str">
            <v>合格</v>
          </cell>
          <cell r="M3007" t="str">
            <v>朱绪涛/孙家孟</v>
          </cell>
          <cell r="N3007" t="str">
            <v>20190107-3</v>
          </cell>
          <cell r="O3007" t="str">
            <v>Qsep 100</v>
          </cell>
          <cell r="Q3007">
            <v>633</v>
          </cell>
          <cell r="R3007">
            <v>4.8311999999999999</v>
          </cell>
        </row>
        <row r="3008">
          <cell r="E3008" t="str">
            <v>HFMET190102B0066-104-115</v>
          </cell>
          <cell r="F3008" t="str">
            <v>Meta 59，E04</v>
          </cell>
          <cell r="G3008">
            <v>20</v>
          </cell>
          <cell r="I3008">
            <v>644</v>
          </cell>
          <cell r="J3008">
            <v>0.28000000000000003</v>
          </cell>
          <cell r="K3008">
            <v>0.64</v>
          </cell>
          <cell r="L3008" t="str">
            <v>不合格</v>
          </cell>
          <cell r="M3008" t="str">
            <v>朱绪涛/孙家孟</v>
          </cell>
          <cell r="N3008" t="str">
            <v>20190107-4</v>
          </cell>
          <cell r="O3008" t="str">
            <v>Qsep 100</v>
          </cell>
          <cell r="Q3008">
            <v>644</v>
          </cell>
          <cell r="R3008">
            <v>0.51239999999999997</v>
          </cell>
        </row>
        <row r="3009">
          <cell r="E3009" t="str">
            <v>HFMET190102B0067-106-115</v>
          </cell>
          <cell r="F3009" t="str">
            <v>Meta 59，E05</v>
          </cell>
          <cell r="G3009">
            <v>20</v>
          </cell>
          <cell r="I3009">
            <v>639</v>
          </cell>
          <cell r="J3009">
            <v>0.88</v>
          </cell>
          <cell r="K3009">
            <v>2.0499999999999998</v>
          </cell>
          <cell r="L3009" t="str">
            <v>不合格</v>
          </cell>
          <cell r="M3009" t="str">
            <v>朱绪涛/孙家孟</v>
          </cell>
          <cell r="N3009" t="str">
            <v>20190107-5</v>
          </cell>
          <cell r="O3009" t="str">
            <v>Qsep 100</v>
          </cell>
          <cell r="Q3009">
            <v>639</v>
          </cell>
          <cell r="R3009">
            <v>1.6104000000000001</v>
          </cell>
        </row>
        <row r="3010">
          <cell r="E3010" t="str">
            <v>HFMET190102B0068-101-113</v>
          </cell>
          <cell r="F3010" t="str">
            <v>Meta 59，E06</v>
          </cell>
          <cell r="G3010">
            <v>20</v>
          </cell>
          <cell r="I3010">
            <v>628</v>
          </cell>
          <cell r="J3010">
            <v>1.95</v>
          </cell>
          <cell r="K3010">
            <v>4.6100000000000003</v>
          </cell>
          <cell r="L3010" t="str">
            <v>合格</v>
          </cell>
          <cell r="M3010" t="str">
            <v>朱绪涛/孙家孟</v>
          </cell>
          <cell r="N3010" t="str">
            <v>20190107-6</v>
          </cell>
          <cell r="O3010" t="str">
            <v>Qsep 100</v>
          </cell>
          <cell r="Q3010">
            <v>628</v>
          </cell>
          <cell r="R3010">
            <v>3.5684999999999998</v>
          </cell>
        </row>
        <row r="3011">
          <cell r="E3011" t="str">
            <v>HFMET190102B0069-103-113</v>
          </cell>
          <cell r="F3011" t="str">
            <v>Meta 59，E07</v>
          </cell>
          <cell r="G3011">
            <v>20</v>
          </cell>
          <cell r="I3011">
            <v>635</v>
          </cell>
          <cell r="J3011">
            <v>2.72</v>
          </cell>
          <cell r="K3011">
            <v>6.38</v>
          </cell>
          <cell r="L3011" t="str">
            <v>合格</v>
          </cell>
          <cell r="M3011" t="str">
            <v>朱绪涛/孙家孟</v>
          </cell>
          <cell r="N3011" t="str">
            <v>20190107-7</v>
          </cell>
          <cell r="O3011" t="str">
            <v>Qsep 100</v>
          </cell>
          <cell r="Q3011">
            <v>635</v>
          </cell>
          <cell r="R3011">
            <v>4.9775999999999998</v>
          </cell>
        </row>
        <row r="3012">
          <cell r="E3012" t="str">
            <v>HFMET190102B0070-104-113</v>
          </cell>
          <cell r="F3012" t="str">
            <v>Meta 59，E08</v>
          </cell>
          <cell r="G3012">
            <v>20</v>
          </cell>
          <cell r="I3012">
            <v>627</v>
          </cell>
          <cell r="J3012">
            <v>0.26</v>
          </cell>
          <cell r="K3012">
            <v>0.62</v>
          </cell>
          <cell r="L3012" t="str">
            <v>不合格</v>
          </cell>
          <cell r="M3012" t="str">
            <v>朱绪涛/孙家孟</v>
          </cell>
          <cell r="N3012" t="str">
            <v>20190107-8</v>
          </cell>
          <cell r="O3012" t="str">
            <v>Qsep 100</v>
          </cell>
          <cell r="Q3012">
            <v>627</v>
          </cell>
          <cell r="R3012">
            <v>0.4758</v>
          </cell>
        </row>
        <row r="3013">
          <cell r="E3013" t="str">
            <v>HFMET190102B0071-105-113</v>
          </cell>
          <cell r="F3013" t="str">
            <v>Meta 59，E09</v>
          </cell>
          <cell r="G3013">
            <v>20</v>
          </cell>
          <cell r="I3013">
            <v>0</v>
          </cell>
          <cell r="J3013">
            <v>0.03</v>
          </cell>
          <cell r="K3013">
            <v>7.0000000000000007E-2</v>
          </cell>
          <cell r="L3013" t="str">
            <v>不合格</v>
          </cell>
          <cell r="M3013" t="str">
            <v>朱绪涛/孙家孟</v>
          </cell>
          <cell r="N3013" t="str">
            <v>20190107-9</v>
          </cell>
          <cell r="O3013" t="str">
            <v>Qsep 100</v>
          </cell>
          <cell r="Q3013">
            <v>0</v>
          </cell>
          <cell r="R3013">
            <v>5.4899999999999997E-2</v>
          </cell>
        </row>
        <row r="3014">
          <cell r="E3014" t="str">
            <v>NTC-105-113</v>
          </cell>
          <cell r="F3014" t="str">
            <v>Meta 59，E10</v>
          </cell>
          <cell r="G3014">
            <v>20</v>
          </cell>
          <cell r="I3014">
            <v>0</v>
          </cell>
          <cell r="J3014">
            <v>0.02</v>
          </cell>
          <cell r="K3014">
            <v>0.05</v>
          </cell>
          <cell r="L3014" t="str">
            <v>合格</v>
          </cell>
          <cell r="M3014" t="str">
            <v>朱绪涛/孙家孟</v>
          </cell>
          <cell r="N3014" t="str">
            <v>20190107-10</v>
          </cell>
          <cell r="O3014" t="str">
            <v>Qsep 100</v>
          </cell>
          <cell r="Q3014">
            <v>0</v>
          </cell>
          <cell r="R3014">
            <v>3.6600000000000001E-2</v>
          </cell>
        </row>
        <row r="3015">
          <cell r="E3015" t="str">
            <v>HFMET190107B0073-61-78</v>
          </cell>
          <cell r="F3015" t="str">
            <v>Meta 59，E11</v>
          </cell>
          <cell r="G3015">
            <v>20</v>
          </cell>
          <cell r="I3015">
            <v>317</v>
          </cell>
          <cell r="J3015">
            <v>0.86</v>
          </cell>
          <cell r="K3015">
            <v>3.91</v>
          </cell>
          <cell r="L3015" t="str">
            <v>不合格</v>
          </cell>
          <cell r="M3015" t="str">
            <v>朱绪涛/孙家孟</v>
          </cell>
          <cell r="N3015" t="str">
            <v>20190107-11</v>
          </cell>
          <cell r="O3015" t="str">
            <v>Qsep 100</v>
          </cell>
          <cell r="Q3015">
            <v>317</v>
          </cell>
          <cell r="R3015">
            <v>1.5738000000000001</v>
          </cell>
        </row>
        <row r="3016">
          <cell r="E3016" t="str">
            <v>HFMET190107B0074-62-78</v>
          </cell>
          <cell r="F3016" t="str">
            <v>Meta 59，E12</v>
          </cell>
          <cell r="G3016">
            <v>20</v>
          </cell>
          <cell r="I3016" t="str">
            <v>317/425</v>
          </cell>
          <cell r="J3016">
            <v>1.79</v>
          </cell>
          <cell r="K3016">
            <v>7.59</v>
          </cell>
          <cell r="L3016" t="str">
            <v>合格</v>
          </cell>
          <cell r="M3016" t="str">
            <v>朱绪涛/孙家孟</v>
          </cell>
          <cell r="N3016" t="str">
            <v>20190107-12</v>
          </cell>
          <cell r="O3016" t="str">
            <v>Qsep 100</v>
          </cell>
          <cell r="Q3016" t="str">
            <v>317/425</v>
          </cell>
          <cell r="R3016">
            <v>3.2757000000000001</v>
          </cell>
        </row>
        <row r="3017">
          <cell r="E3017" t="str">
            <v>HFMET190107B0075-66-78</v>
          </cell>
          <cell r="F3017" t="str">
            <v>Meta 59，F01</v>
          </cell>
          <cell r="G3017">
            <v>20</v>
          </cell>
          <cell r="I3017">
            <v>324</v>
          </cell>
          <cell r="J3017">
            <v>0.65</v>
          </cell>
          <cell r="K3017">
            <v>2.9</v>
          </cell>
          <cell r="L3017" t="str">
            <v>合格</v>
          </cell>
          <cell r="M3017" t="str">
            <v>朱绪涛/孙家孟</v>
          </cell>
          <cell r="N3017" t="str">
            <v>20190107-13</v>
          </cell>
          <cell r="O3017" t="str">
            <v>Qsep 100</v>
          </cell>
          <cell r="Q3017">
            <v>324</v>
          </cell>
          <cell r="R3017">
            <v>1.1895</v>
          </cell>
        </row>
        <row r="3018">
          <cell r="E3018" t="str">
            <v>HFMET190107B0076-60-79</v>
          </cell>
          <cell r="F3018" t="str">
            <v>Meta 59，F02</v>
          </cell>
          <cell r="G3018">
            <v>20</v>
          </cell>
          <cell r="I3018">
            <v>315</v>
          </cell>
          <cell r="J3018">
            <v>0.12</v>
          </cell>
          <cell r="K3018">
            <v>0.56000000000000005</v>
          </cell>
          <cell r="L3018" t="str">
            <v>不合格</v>
          </cell>
          <cell r="M3018" t="str">
            <v>朱绪涛/孙家孟</v>
          </cell>
          <cell r="N3018" t="str">
            <v>20190107-14</v>
          </cell>
          <cell r="O3018" t="str">
            <v>Qsep 100</v>
          </cell>
          <cell r="Q3018">
            <v>315</v>
          </cell>
          <cell r="R3018">
            <v>0.21959999999999999</v>
          </cell>
        </row>
        <row r="3019">
          <cell r="E3019" t="str">
            <v>HFMET190107B0077-61-79</v>
          </cell>
          <cell r="F3019" t="str">
            <v>Meta 59，F03</v>
          </cell>
          <cell r="G3019">
            <v>20</v>
          </cell>
          <cell r="I3019" t="str">
            <v>317/278</v>
          </cell>
          <cell r="J3019">
            <v>2.89</v>
          </cell>
          <cell r="K3019">
            <v>14.13</v>
          </cell>
          <cell r="L3019" t="str">
            <v>合格</v>
          </cell>
          <cell r="M3019" t="str">
            <v>朱绪涛/孙家孟</v>
          </cell>
          <cell r="N3019" t="str">
            <v>20190107-15</v>
          </cell>
          <cell r="O3019" t="str">
            <v>Qsep 100</v>
          </cell>
          <cell r="Q3019" t="str">
            <v>317/278</v>
          </cell>
          <cell r="R3019">
            <v>5.2887000000000004</v>
          </cell>
        </row>
        <row r="3020">
          <cell r="E3020" t="str">
            <v>HFMET190107B0078-62-79</v>
          </cell>
          <cell r="F3020" t="str">
            <v>Meta 59，F04</v>
          </cell>
          <cell r="G3020">
            <v>20</v>
          </cell>
          <cell r="I3020" t="str">
            <v>367/279</v>
          </cell>
          <cell r="J3020">
            <v>4.6900000000000004</v>
          </cell>
          <cell r="K3020">
            <v>21.43</v>
          </cell>
          <cell r="L3020" t="str">
            <v>合格</v>
          </cell>
          <cell r="M3020" t="str">
            <v>朱绪涛/孙家孟</v>
          </cell>
          <cell r="N3020" t="str">
            <v>20190107-16</v>
          </cell>
          <cell r="O3020" t="str">
            <v>Qsep 100</v>
          </cell>
          <cell r="Q3020" t="str">
            <v>367/279</v>
          </cell>
          <cell r="R3020">
            <v>8.5827000000000009</v>
          </cell>
        </row>
        <row r="3021">
          <cell r="E3021" t="str">
            <v>HFMET190107B0079-63-79</v>
          </cell>
          <cell r="F3021" t="str">
            <v>Meta 59，F05</v>
          </cell>
          <cell r="G3021">
            <v>20</v>
          </cell>
          <cell r="I3021">
            <v>441</v>
          </cell>
          <cell r="J3021">
            <v>0.9</v>
          </cell>
          <cell r="K3021">
            <v>3.45</v>
          </cell>
          <cell r="L3021" t="str">
            <v>不合格</v>
          </cell>
          <cell r="M3021" t="str">
            <v>朱绪涛/孙家孟</v>
          </cell>
          <cell r="N3021" t="str">
            <v>20190107-17</v>
          </cell>
          <cell r="O3021" t="str">
            <v>Qsep 100</v>
          </cell>
          <cell r="Q3021">
            <v>441</v>
          </cell>
          <cell r="R3021">
            <v>1.647</v>
          </cell>
        </row>
        <row r="3022">
          <cell r="E3022" t="str">
            <v>HFMET190107B0080-65-79</v>
          </cell>
          <cell r="F3022" t="str">
            <v>Meta 59，F06</v>
          </cell>
          <cell r="G3022">
            <v>20</v>
          </cell>
          <cell r="I3022">
            <v>323</v>
          </cell>
          <cell r="J3022">
            <v>0.28999999999999998</v>
          </cell>
          <cell r="K3022">
            <v>1.36</v>
          </cell>
          <cell r="L3022" t="str">
            <v>不合格</v>
          </cell>
          <cell r="M3022" t="str">
            <v>朱绪涛/孙家孟</v>
          </cell>
          <cell r="N3022" t="str">
            <v>20190107-18</v>
          </cell>
          <cell r="O3022" t="str">
            <v>Qsep 100</v>
          </cell>
          <cell r="Q3022">
            <v>323</v>
          </cell>
          <cell r="R3022">
            <v>0.53069999999999995</v>
          </cell>
        </row>
        <row r="3023">
          <cell r="E3023" t="str">
            <v>HFMET190107B0081-66-79</v>
          </cell>
          <cell r="F3023" t="str">
            <v>Meta 59，F07</v>
          </cell>
          <cell r="G3023">
            <v>20</v>
          </cell>
          <cell r="I3023">
            <v>388</v>
          </cell>
          <cell r="J3023">
            <v>0.57999999999999996</v>
          </cell>
          <cell r="K3023">
            <v>2.41</v>
          </cell>
          <cell r="L3023" t="str">
            <v>不合格</v>
          </cell>
          <cell r="M3023" t="str">
            <v>朱绪涛/孙家孟</v>
          </cell>
          <cell r="N3023" t="str">
            <v>20190107-19</v>
          </cell>
          <cell r="O3023" t="str">
            <v>Qsep 100</v>
          </cell>
          <cell r="Q3023">
            <v>388</v>
          </cell>
          <cell r="R3023">
            <v>1.0613999999999999</v>
          </cell>
        </row>
        <row r="3024">
          <cell r="E3024" t="str">
            <v>HFMET190107B0082-56-77</v>
          </cell>
          <cell r="F3024" t="str">
            <v>Meta 59，F08</v>
          </cell>
          <cell r="G3024">
            <v>20</v>
          </cell>
          <cell r="I3024" t="str">
            <v>无目的峰</v>
          </cell>
          <cell r="J3024">
            <v>0.06</v>
          </cell>
          <cell r="K3024">
            <v>0.28999999999999998</v>
          </cell>
          <cell r="L3024" t="str">
            <v>不合格</v>
          </cell>
          <cell r="M3024" t="str">
            <v>朱绪涛/孙家孟</v>
          </cell>
          <cell r="N3024" t="str">
            <v>20190108-1</v>
          </cell>
          <cell r="O3024" t="str">
            <v>Qsep 100</v>
          </cell>
          <cell r="Q3024" t="str">
            <v>无目的峰</v>
          </cell>
          <cell r="R3024">
            <v>7.7399999999999997E-2</v>
          </cell>
        </row>
        <row r="3025">
          <cell r="E3025" t="str">
            <v>HFMET190107B0083-57-77</v>
          </cell>
          <cell r="F3025" t="str">
            <v>Meta 59，F09</v>
          </cell>
          <cell r="G3025">
            <v>20</v>
          </cell>
          <cell r="I3025" t="str">
            <v>无目的峰</v>
          </cell>
          <cell r="J3025">
            <v>0.03</v>
          </cell>
          <cell r="K3025">
            <v>0.12</v>
          </cell>
          <cell r="L3025" t="str">
            <v>不合格</v>
          </cell>
          <cell r="M3025" t="str">
            <v>朱绪涛/孙家孟</v>
          </cell>
          <cell r="N3025" t="str">
            <v>20190108-2</v>
          </cell>
          <cell r="O3025" t="str">
            <v>Qsep 100</v>
          </cell>
          <cell r="Q3025" t="str">
            <v>无目的峰</v>
          </cell>
          <cell r="R3025">
            <v>3.8699999999999998E-2</v>
          </cell>
        </row>
        <row r="3026">
          <cell r="E3026" t="str">
            <v>HFMET190107B0084-58-77</v>
          </cell>
          <cell r="F3026" t="str">
            <v>Meta 59，F10</v>
          </cell>
          <cell r="G3026">
            <v>20</v>
          </cell>
          <cell r="I3026" t="str">
            <v>无目的峰</v>
          </cell>
          <cell r="J3026">
            <v>0.02</v>
          </cell>
          <cell r="K3026">
            <v>0.1</v>
          </cell>
          <cell r="L3026" t="str">
            <v>不合格</v>
          </cell>
          <cell r="M3026" t="str">
            <v>朱绪涛/孙家孟</v>
          </cell>
          <cell r="N3026" t="str">
            <v>20190108-3</v>
          </cell>
          <cell r="O3026" t="str">
            <v>Qsep 100</v>
          </cell>
          <cell r="Q3026" t="str">
            <v>无目的峰</v>
          </cell>
          <cell r="R3026">
            <v>2.58E-2</v>
          </cell>
        </row>
        <row r="3027">
          <cell r="E3027" t="str">
            <v>HFMET190107B0085-51-78</v>
          </cell>
          <cell r="F3027" t="str">
            <v>Meta 59，F11</v>
          </cell>
          <cell r="G3027">
            <v>20</v>
          </cell>
          <cell r="I3027" t="str">
            <v>无目的峰</v>
          </cell>
          <cell r="J3027">
            <v>0.04</v>
          </cell>
          <cell r="K3027">
            <v>0.21</v>
          </cell>
          <cell r="L3027" t="str">
            <v>不合格</v>
          </cell>
          <cell r="M3027" t="str">
            <v>朱绪涛/孙家孟</v>
          </cell>
          <cell r="N3027" t="str">
            <v>20190108-4</v>
          </cell>
          <cell r="O3027" t="str">
            <v>Qsep 100</v>
          </cell>
          <cell r="Q3027" t="str">
            <v>无目的峰</v>
          </cell>
          <cell r="R3027">
            <v>5.16E-2</v>
          </cell>
        </row>
        <row r="3028">
          <cell r="E3028" t="str">
            <v>HFMET190107B0086-52-78</v>
          </cell>
          <cell r="F3028" t="str">
            <v>Meta 59，F12</v>
          </cell>
          <cell r="G3028">
            <v>20</v>
          </cell>
          <cell r="I3028" t="str">
            <v>无目的峰</v>
          </cell>
          <cell r="J3028">
            <v>0.03</v>
          </cell>
          <cell r="K3028">
            <v>0.11</v>
          </cell>
          <cell r="L3028" t="str">
            <v>不合格</v>
          </cell>
          <cell r="M3028" t="str">
            <v>朱绪涛/孙家孟</v>
          </cell>
          <cell r="N3028" t="str">
            <v>20190108-5</v>
          </cell>
          <cell r="O3028" t="str">
            <v>Qsep 100</v>
          </cell>
          <cell r="Q3028" t="str">
            <v>无目的峰</v>
          </cell>
          <cell r="R3028">
            <v>3.8699999999999998E-2</v>
          </cell>
        </row>
        <row r="3029">
          <cell r="E3029" t="str">
            <v>HFMET190107B0087-53-78</v>
          </cell>
          <cell r="F3029" t="str">
            <v>Meta 59，G01</v>
          </cell>
          <cell r="G3029">
            <v>20</v>
          </cell>
          <cell r="I3029" t="str">
            <v>无目的峰</v>
          </cell>
          <cell r="J3029">
            <v>0.03</v>
          </cell>
          <cell r="K3029">
            <v>0.13</v>
          </cell>
          <cell r="L3029" t="str">
            <v>不合格</v>
          </cell>
          <cell r="M3029" t="str">
            <v>朱绪涛/孙家孟</v>
          </cell>
          <cell r="N3029" t="str">
            <v>20190108-6</v>
          </cell>
          <cell r="O3029" t="str">
            <v>Qsep 100</v>
          </cell>
          <cell r="Q3029" t="str">
            <v>无目的峰</v>
          </cell>
          <cell r="R3029">
            <v>3.8699999999999998E-2</v>
          </cell>
        </row>
        <row r="3030">
          <cell r="E3030" t="str">
            <v>HFMET190107B0088-54-78</v>
          </cell>
          <cell r="F3030" t="str">
            <v>Meta 59，G02</v>
          </cell>
          <cell r="G3030">
            <v>20</v>
          </cell>
          <cell r="I3030" t="str">
            <v>无目的峰</v>
          </cell>
          <cell r="J3030">
            <v>0.08</v>
          </cell>
          <cell r="K3030">
            <v>0.3</v>
          </cell>
          <cell r="L3030" t="str">
            <v>不合格</v>
          </cell>
          <cell r="M3030" t="str">
            <v>朱绪涛/孙家孟</v>
          </cell>
          <cell r="N3030" t="str">
            <v>20190108-7</v>
          </cell>
          <cell r="O3030" t="str">
            <v>Qsep 100</v>
          </cell>
          <cell r="Q3030" t="str">
            <v>无目的峰</v>
          </cell>
          <cell r="R3030">
            <v>0.1032</v>
          </cell>
        </row>
        <row r="3031">
          <cell r="E3031" t="str">
            <v>NTC-54-78</v>
          </cell>
          <cell r="F3031" t="str">
            <v>Meta 59，G03</v>
          </cell>
          <cell r="G3031">
            <v>20</v>
          </cell>
          <cell r="I3031" t="str">
            <v>无目的峰</v>
          </cell>
          <cell r="J3031">
            <v>0.04</v>
          </cell>
          <cell r="K3031">
            <v>0.18</v>
          </cell>
          <cell r="L3031" t="str">
            <v>合格</v>
          </cell>
          <cell r="M3031" t="str">
            <v>朱绪涛/孙家孟</v>
          </cell>
          <cell r="N3031" t="str">
            <v>20190108-8</v>
          </cell>
          <cell r="O3031" t="str">
            <v>Qsep 100</v>
          </cell>
          <cell r="Q3031" t="str">
            <v>无目的峰</v>
          </cell>
          <cell r="R3031">
            <v>5.16E-2</v>
          </cell>
        </row>
        <row r="3032">
          <cell r="E3032" t="str">
            <v>HFMET190110A0089-87-134</v>
          </cell>
          <cell r="F3032" t="str">
            <v>Meta 59，G04</v>
          </cell>
          <cell r="G3032">
            <v>20</v>
          </cell>
          <cell r="I3032">
            <v>632</v>
          </cell>
          <cell r="J3032">
            <v>0.39</v>
          </cell>
          <cell r="K3032">
            <v>0.93</v>
          </cell>
          <cell r="L3032" t="str">
            <v>不合格</v>
          </cell>
          <cell r="M3032" t="str">
            <v>王丹丹/王静静</v>
          </cell>
          <cell r="N3032" t="str">
            <v>20190114-1</v>
          </cell>
          <cell r="O3032" t="str">
            <v>Qsep 100</v>
          </cell>
          <cell r="Q3032">
            <v>632</v>
          </cell>
          <cell r="R3032">
            <v>0.27299999999999996</v>
          </cell>
        </row>
        <row r="3033">
          <cell r="E3033" t="str">
            <v>HFMET190110A0090-88-134</v>
          </cell>
          <cell r="F3033" t="str">
            <v>Meta 59，G05</v>
          </cell>
          <cell r="G3033">
            <v>20</v>
          </cell>
          <cell r="I3033">
            <v>613</v>
          </cell>
          <cell r="J3033">
            <v>0.22</v>
          </cell>
          <cell r="K3033">
            <v>0.52</v>
          </cell>
          <cell r="L3033" t="str">
            <v>不合格</v>
          </cell>
          <cell r="M3033" t="str">
            <v>王丹丹/王静静</v>
          </cell>
          <cell r="N3033" t="str">
            <v>20190114-2</v>
          </cell>
          <cell r="O3033" t="str">
            <v>Qsep 100</v>
          </cell>
          <cell r="Q3033">
            <v>613</v>
          </cell>
          <cell r="R3033">
            <v>0.154</v>
          </cell>
        </row>
        <row r="3034">
          <cell r="E3034" t="str">
            <v>HFMET190110A0091-89-134</v>
          </cell>
          <cell r="F3034" t="str">
            <v>Meta 59，G06</v>
          </cell>
          <cell r="G3034">
            <v>20</v>
          </cell>
          <cell r="I3034">
            <v>582</v>
          </cell>
          <cell r="J3034">
            <v>18.71</v>
          </cell>
          <cell r="K3034">
            <v>46.15</v>
          </cell>
          <cell r="L3034" t="str">
            <v>合格</v>
          </cell>
          <cell r="M3034" t="str">
            <v>王丹丹/王静静</v>
          </cell>
          <cell r="N3034" t="str">
            <v>20190114-3</v>
          </cell>
          <cell r="O3034" t="str">
            <v>Qsep 100</v>
          </cell>
          <cell r="Q3034">
            <v>582</v>
          </cell>
          <cell r="R3034">
            <v>13.097</v>
          </cell>
        </row>
        <row r="3035">
          <cell r="E3035" t="str">
            <v>HFMET190110A0092-90-134</v>
          </cell>
          <cell r="F3035" t="str">
            <v>Meta 59，G07</v>
          </cell>
          <cell r="G3035">
            <v>20</v>
          </cell>
          <cell r="I3035">
            <v>586</v>
          </cell>
          <cell r="J3035">
            <v>15.09</v>
          </cell>
          <cell r="K3035">
            <v>37.14</v>
          </cell>
          <cell r="L3035" t="str">
            <v>合格</v>
          </cell>
          <cell r="M3035" t="str">
            <v>王丹丹/王静静</v>
          </cell>
          <cell r="N3035" t="str">
            <v>20190114-4</v>
          </cell>
          <cell r="O3035" t="str">
            <v>Qsep 100</v>
          </cell>
          <cell r="Q3035">
            <v>586</v>
          </cell>
          <cell r="R3035">
            <v>10.562999999999999</v>
          </cell>
        </row>
        <row r="3036">
          <cell r="E3036" t="str">
            <v>HFMET190110A0093-91-134</v>
          </cell>
          <cell r="F3036" t="str">
            <v>Meta 59，G08</v>
          </cell>
          <cell r="G3036">
            <v>20</v>
          </cell>
          <cell r="I3036">
            <v>642</v>
          </cell>
          <cell r="J3036">
            <v>0.93</v>
          </cell>
          <cell r="K3036">
            <v>2.16</v>
          </cell>
          <cell r="L3036" t="str">
            <v>不合格</v>
          </cell>
          <cell r="M3036" t="str">
            <v>王丹丹/王静静</v>
          </cell>
          <cell r="N3036" t="str">
            <v>20190114-5</v>
          </cell>
          <cell r="O3036" t="str">
            <v>Qsep 100</v>
          </cell>
          <cell r="Q3036">
            <v>642</v>
          </cell>
          <cell r="R3036">
            <v>0.65100000000000002</v>
          </cell>
        </row>
        <row r="3037">
          <cell r="E3037" t="str">
            <v>HFMET190110A0094-92-134</v>
          </cell>
          <cell r="F3037" t="str">
            <v>Meta 59，G09</v>
          </cell>
          <cell r="G3037">
            <v>20</v>
          </cell>
          <cell r="I3037">
            <v>590</v>
          </cell>
          <cell r="J3037">
            <v>17.010000000000002</v>
          </cell>
          <cell r="K3037">
            <v>41.59</v>
          </cell>
          <cell r="L3037" t="str">
            <v>合格</v>
          </cell>
          <cell r="M3037" t="str">
            <v>王丹丹/王静静</v>
          </cell>
          <cell r="N3037" t="str">
            <v>20190114-6</v>
          </cell>
          <cell r="O3037" t="str">
            <v>Qsep 100</v>
          </cell>
          <cell r="Q3037">
            <v>590</v>
          </cell>
          <cell r="R3037">
            <v>11.907</v>
          </cell>
        </row>
        <row r="3038">
          <cell r="E3038" t="str">
            <v>HFMET190110A0095-93-134</v>
          </cell>
          <cell r="F3038" t="str">
            <v>Meta 59，G10</v>
          </cell>
          <cell r="G3038">
            <v>20</v>
          </cell>
          <cell r="I3038" t="str">
            <v>无目的峰</v>
          </cell>
          <cell r="J3038">
            <v>0.06</v>
          </cell>
          <cell r="K3038">
            <v>0.15</v>
          </cell>
          <cell r="L3038" t="str">
            <v>不合格</v>
          </cell>
          <cell r="M3038" t="str">
            <v>王丹丹/王静静</v>
          </cell>
          <cell r="N3038" t="str">
            <v>20190114-7</v>
          </cell>
          <cell r="O3038" t="str">
            <v>Qsep 100</v>
          </cell>
          <cell r="Q3038" t="str">
            <v>无目的峰</v>
          </cell>
          <cell r="R3038">
            <v>4.1999999999999996E-2</v>
          </cell>
        </row>
        <row r="3039">
          <cell r="E3039" t="str">
            <v>HFMET190110A0096-94-134</v>
          </cell>
          <cell r="F3039" t="str">
            <v>Meta 59，G11</v>
          </cell>
          <cell r="G3039">
            <v>20</v>
          </cell>
          <cell r="I3039">
            <v>586</v>
          </cell>
          <cell r="J3039">
            <v>19.899999999999999</v>
          </cell>
          <cell r="K3039">
            <v>48.71</v>
          </cell>
          <cell r="L3039" t="str">
            <v>合格</v>
          </cell>
          <cell r="M3039" t="str">
            <v>王丹丹/王静静</v>
          </cell>
          <cell r="N3039" t="str">
            <v>20190114-8</v>
          </cell>
          <cell r="O3039" t="str">
            <v>Qsep 100</v>
          </cell>
          <cell r="Q3039">
            <v>586</v>
          </cell>
          <cell r="R3039">
            <v>13.929999999999998</v>
          </cell>
        </row>
        <row r="3040">
          <cell r="E3040" t="str">
            <v>HFMET190110A0097-87-133</v>
          </cell>
          <cell r="F3040" t="str">
            <v>Meta 59，G12</v>
          </cell>
          <cell r="G3040">
            <v>20</v>
          </cell>
          <cell r="I3040">
            <v>595</v>
          </cell>
          <cell r="J3040">
            <v>16.86</v>
          </cell>
          <cell r="K3040">
            <v>41.18</v>
          </cell>
          <cell r="L3040" t="str">
            <v>合格</v>
          </cell>
          <cell r="M3040" t="str">
            <v>王丹丹/王静静</v>
          </cell>
          <cell r="N3040" t="str">
            <v>20190114-9</v>
          </cell>
          <cell r="O3040" t="str">
            <v>Qsep 100</v>
          </cell>
          <cell r="Q3040">
            <v>595</v>
          </cell>
          <cell r="R3040">
            <v>11.802</v>
          </cell>
        </row>
        <row r="3041">
          <cell r="E3041" t="str">
            <v>HFMET190110A0098-88-133</v>
          </cell>
          <cell r="F3041" t="str">
            <v>Meta 59，H01</v>
          </cell>
          <cell r="G3041">
            <v>20</v>
          </cell>
          <cell r="I3041">
            <v>640</v>
          </cell>
          <cell r="J3041">
            <v>0.19</v>
          </cell>
          <cell r="K3041">
            <v>0.46</v>
          </cell>
          <cell r="L3041" t="str">
            <v>不合格</v>
          </cell>
          <cell r="M3041" t="str">
            <v>王丹丹/王静静</v>
          </cell>
          <cell r="N3041" t="str">
            <v>20190114-10</v>
          </cell>
          <cell r="O3041" t="str">
            <v>Qsep 100</v>
          </cell>
          <cell r="Q3041">
            <v>640</v>
          </cell>
          <cell r="R3041">
            <v>0.13299999999999998</v>
          </cell>
        </row>
        <row r="3042">
          <cell r="E3042" t="str">
            <v>HFMET190110A0099-89-133</v>
          </cell>
          <cell r="F3042" t="str">
            <v>Meta 59，H02</v>
          </cell>
          <cell r="G3042">
            <v>20</v>
          </cell>
          <cell r="I3042">
            <v>638</v>
          </cell>
          <cell r="J3042">
            <v>1.83</v>
          </cell>
          <cell r="K3042">
            <v>4.28</v>
          </cell>
          <cell r="L3042" t="str">
            <v>合格</v>
          </cell>
          <cell r="M3042" t="str">
            <v>王丹丹/王静静</v>
          </cell>
          <cell r="N3042" t="str">
            <v>20190114-11</v>
          </cell>
          <cell r="O3042" t="str">
            <v>Qsep 100</v>
          </cell>
          <cell r="Q3042">
            <v>638</v>
          </cell>
          <cell r="R3042">
            <v>1.2809999999999999</v>
          </cell>
        </row>
        <row r="3043">
          <cell r="E3043" t="str">
            <v>HFMET190110A0100-90-133</v>
          </cell>
          <cell r="F3043" t="str">
            <v>Meta 59，H03</v>
          </cell>
          <cell r="G3043">
            <v>20</v>
          </cell>
          <cell r="I3043">
            <v>632</v>
          </cell>
          <cell r="J3043">
            <v>2.73</v>
          </cell>
          <cell r="K3043">
            <v>6.43</v>
          </cell>
          <cell r="L3043" t="str">
            <v>合格</v>
          </cell>
          <cell r="M3043" t="str">
            <v>王丹丹/王静静</v>
          </cell>
          <cell r="N3043" t="str">
            <v>20190114-12</v>
          </cell>
          <cell r="O3043" t="str">
            <v>Qsep 100</v>
          </cell>
          <cell r="Q3043">
            <v>632</v>
          </cell>
          <cell r="R3043">
            <v>1.9109999999999998</v>
          </cell>
        </row>
        <row r="3044">
          <cell r="E3044" t="str">
            <v>HFMET190110A0101-91-133</v>
          </cell>
          <cell r="F3044" t="str">
            <v>Meta 59，H04</v>
          </cell>
          <cell r="G3044">
            <v>20</v>
          </cell>
          <cell r="I3044">
            <v>639</v>
          </cell>
          <cell r="J3044">
            <v>0.51</v>
          </cell>
          <cell r="K3044">
            <v>1.22</v>
          </cell>
          <cell r="L3044" t="str">
            <v>不合格</v>
          </cell>
          <cell r="M3044" t="str">
            <v>王丹丹/王静静</v>
          </cell>
          <cell r="N3044" t="str">
            <v>20190114-13</v>
          </cell>
          <cell r="O3044" t="str">
            <v>Qsep 100</v>
          </cell>
          <cell r="Q3044">
            <v>639</v>
          </cell>
          <cell r="R3044">
            <v>0.35699999999999998</v>
          </cell>
        </row>
        <row r="3045">
          <cell r="E3045" t="str">
            <v>HFMET190110A0102-92-133</v>
          </cell>
          <cell r="F3045" t="str">
            <v>Meta 59，H05</v>
          </cell>
          <cell r="G3045">
            <v>20</v>
          </cell>
          <cell r="I3045">
            <v>652</v>
          </cell>
          <cell r="J3045">
            <v>0.22</v>
          </cell>
          <cell r="K3045">
            <v>0.52</v>
          </cell>
          <cell r="L3045" t="str">
            <v>不合格</v>
          </cell>
          <cell r="M3045" t="str">
            <v>王丹丹/王静静</v>
          </cell>
          <cell r="N3045" t="str">
            <v>20190114-14</v>
          </cell>
          <cell r="O3045" t="str">
            <v>Qsep 100</v>
          </cell>
          <cell r="Q3045">
            <v>652</v>
          </cell>
          <cell r="R3045">
            <v>0.154</v>
          </cell>
        </row>
        <row r="3046">
          <cell r="E3046" t="str">
            <v>HFMET190110A0103-93-133</v>
          </cell>
          <cell r="F3046" t="str">
            <v>Meta 59，H06</v>
          </cell>
          <cell r="G3046">
            <v>20</v>
          </cell>
          <cell r="I3046">
            <v>653</v>
          </cell>
          <cell r="J3046">
            <v>0.15</v>
          </cell>
          <cell r="K3046">
            <v>0.34</v>
          </cell>
          <cell r="L3046" t="str">
            <v>不合格</v>
          </cell>
          <cell r="M3046" t="str">
            <v>王丹丹/王静静</v>
          </cell>
          <cell r="N3046" t="str">
            <v>20190114-15</v>
          </cell>
          <cell r="O3046" t="str">
            <v>Qsep 100</v>
          </cell>
          <cell r="Q3046">
            <v>653</v>
          </cell>
          <cell r="R3046">
            <v>0.105</v>
          </cell>
        </row>
        <row r="3047">
          <cell r="E3047" t="str">
            <v>HFMET190110A0104-94-133</v>
          </cell>
          <cell r="F3047" t="str">
            <v>Meta 59，H07</v>
          </cell>
          <cell r="G3047">
            <v>20</v>
          </cell>
          <cell r="I3047">
            <v>622</v>
          </cell>
          <cell r="J3047">
            <v>9.39</v>
          </cell>
          <cell r="K3047">
            <v>22.09</v>
          </cell>
          <cell r="L3047" t="str">
            <v>合格</v>
          </cell>
          <cell r="M3047" t="str">
            <v>王丹丹/王静静</v>
          </cell>
          <cell r="N3047" t="str">
            <v>20190114-16</v>
          </cell>
          <cell r="O3047" t="str">
            <v>Qsep 100</v>
          </cell>
          <cell r="Q3047">
            <v>622</v>
          </cell>
          <cell r="R3047">
            <v>6.5730000000000004</v>
          </cell>
        </row>
        <row r="3048">
          <cell r="E3048" t="str">
            <v>HFMET190110A0105-87-120</v>
          </cell>
          <cell r="F3048" t="str">
            <v>Meta 59，H08</v>
          </cell>
          <cell r="G3048">
            <v>20</v>
          </cell>
          <cell r="I3048">
            <v>617</v>
          </cell>
          <cell r="J3048">
            <v>8.0299999999999994</v>
          </cell>
          <cell r="K3048">
            <v>18.989999999999998</v>
          </cell>
          <cell r="L3048" t="str">
            <v>合格</v>
          </cell>
          <cell r="M3048" t="str">
            <v>王丹丹/王静静</v>
          </cell>
          <cell r="N3048" t="str">
            <v>20190114-17</v>
          </cell>
          <cell r="O3048" t="str">
            <v>Qsep 100</v>
          </cell>
          <cell r="Q3048">
            <v>617</v>
          </cell>
          <cell r="R3048">
            <v>5.6209999999999996</v>
          </cell>
        </row>
        <row r="3049">
          <cell r="E3049" t="str">
            <v>HFMET190110A0106-88-120</v>
          </cell>
          <cell r="F3049" t="str">
            <v>Meta 59，H09</v>
          </cell>
          <cell r="G3049">
            <v>20</v>
          </cell>
          <cell r="I3049">
            <v>647</v>
          </cell>
          <cell r="J3049">
            <v>0.22</v>
          </cell>
          <cell r="K3049">
            <v>0.52</v>
          </cell>
          <cell r="L3049" t="str">
            <v>不合格</v>
          </cell>
          <cell r="M3049" t="str">
            <v>王丹丹/王静静</v>
          </cell>
          <cell r="N3049" t="str">
            <v>20190114-18</v>
          </cell>
          <cell r="O3049" t="str">
            <v>Qsep 100</v>
          </cell>
          <cell r="Q3049">
            <v>647</v>
          </cell>
          <cell r="R3049">
            <v>0.154</v>
          </cell>
        </row>
        <row r="3050">
          <cell r="E3050" t="str">
            <v>HFMET190110A0107-89-120</v>
          </cell>
          <cell r="F3050" t="str">
            <v>Meta 59，H10</v>
          </cell>
          <cell r="G3050">
            <v>20</v>
          </cell>
          <cell r="I3050" t="str">
            <v>无目的峰</v>
          </cell>
          <cell r="J3050">
            <v>0.1</v>
          </cell>
          <cell r="K3050">
            <v>0.24</v>
          </cell>
          <cell r="L3050" t="str">
            <v>不合格</v>
          </cell>
          <cell r="M3050" t="str">
            <v>王丹丹/王静静</v>
          </cell>
          <cell r="N3050" t="str">
            <v>20190114-19</v>
          </cell>
          <cell r="O3050" t="str">
            <v>Qsep 100</v>
          </cell>
          <cell r="Q3050" t="str">
            <v>无目的峰</v>
          </cell>
          <cell r="R3050">
            <v>6.9999999999999993E-2</v>
          </cell>
        </row>
        <row r="3051">
          <cell r="E3051" t="str">
            <v>HFMET190110A0108-90-120</v>
          </cell>
          <cell r="F3051" t="str">
            <v>Meta 59，H11</v>
          </cell>
          <cell r="G3051">
            <v>20</v>
          </cell>
          <cell r="I3051">
            <v>652</v>
          </cell>
          <cell r="J3051">
            <v>0.39</v>
          </cell>
          <cell r="K3051">
            <v>0.9</v>
          </cell>
          <cell r="L3051" t="str">
            <v>不合格</v>
          </cell>
          <cell r="M3051" t="str">
            <v>王丹丹/王静静</v>
          </cell>
          <cell r="N3051" t="str">
            <v>20190114-20</v>
          </cell>
          <cell r="O3051" t="str">
            <v>Qsep 100</v>
          </cell>
          <cell r="Q3051">
            <v>652</v>
          </cell>
          <cell r="R3051">
            <v>0.27299999999999996</v>
          </cell>
        </row>
        <row r="3052">
          <cell r="E3052" t="str">
            <v>HFMET190110A0109-91-120</v>
          </cell>
          <cell r="F3052" t="str">
            <v>Meta 59，H12</v>
          </cell>
          <cell r="G3052">
            <v>20</v>
          </cell>
          <cell r="I3052">
            <v>631</v>
          </cell>
          <cell r="J3052">
            <v>5.92</v>
          </cell>
          <cell r="K3052">
            <v>13.87</v>
          </cell>
          <cell r="L3052" t="str">
            <v>合格</v>
          </cell>
          <cell r="M3052" t="str">
            <v>王丹丹/王静静</v>
          </cell>
          <cell r="N3052" t="str">
            <v>20190114-21</v>
          </cell>
          <cell r="O3052" t="str">
            <v>Qsep 100</v>
          </cell>
          <cell r="Q3052">
            <v>63</v>
          </cell>
          <cell r="R3052">
            <v>4.1440000000000001</v>
          </cell>
        </row>
        <row r="3053">
          <cell r="E3053" t="str">
            <v>HFMET190110A0110-92-120</v>
          </cell>
          <cell r="F3053" t="str">
            <v>Meta 60，A01</v>
          </cell>
          <cell r="G3053">
            <v>20</v>
          </cell>
          <cell r="I3053" t="str">
            <v>无目的峰</v>
          </cell>
          <cell r="J3053">
            <v>0.12</v>
          </cell>
          <cell r="K3053">
            <v>0.28000000000000003</v>
          </cell>
          <cell r="L3053" t="str">
            <v>不合格</v>
          </cell>
          <cell r="M3053" t="str">
            <v>王丹丹/王静静</v>
          </cell>
          <cell r="N3053" t="str">
            <v>20190114-22</v>
          </cell>
          <cell r="O3053" t="str">
            <v>Qsep 100</v>
          </cell>
          <cell r="Q3053" t="str">
            <v>无目的峰</v>
          </cell>
          <cell r="R3053">
            <v>8.3999999999999991E-2</v>
          </cell>
        </row>
        <row r="3054">
          <cell r="E3054" t="str">
            <v>HFMET190110A0111-93-120</v>
          </cell>
          <cell r="F3054" t="str">
            <v>Meta 60，A02</v>
          </cell>
          <cell r="G3054">
            <v>20</v>
          </cell>
          <cell r="I3054">
            <v>667</v>
          </cell>
          <cell r="J3054">
            <v>0.21</v>
          </cell>
          <cell r="K3054">
            <v>0.49</v>
          </cell>
          <cell r="L3054" t="str">
            <v>不合格</v>
          </cell>
          <cell r="M3054" t="str">
            <v>王丹丹/王静静</v>
          </cell>
          <cell r="N3054" t="str">
            <v>20190114-23</v>
          </cell>
          <cell r="O3054" t="str">
            <v>Qsep 100</v>
          </cell>
          <cell r="Q3054">
            <v>667</v>
          </cell>
          <cell r="R3054">
            <v>0.14699999999999999</v>
          </cell>
        </row>
        <row r="3055">
          <cell r="E3055" t="str">
            <v>HFMET190110A0112-94-120</v>
          </cell>
          <cell r="F3055" t="str">
            <v>Meta 60，A03</v>
          </cell>
          <cell r="G3055">
            <v>20</v>
          </cell>
          <cell r="I3055">
            <v>661</v>
          </cell>
          <cell r="J3055">
            <v>0.14000000000000001</v>
          </cell>
          <cell r="K3055">
            <v>0.33</v>
          </cell>
          <cell r="L3055" t="str">
            <v>不合格</v>
          </cell>
          <cell r="M3055" t="str">
            <v>王丹丹/王静静</v>
          </cell>
          <cell r="N3055" t="str">
            <v>20190114-24</v>
          </cell>
          <cell r="O3055" t="str">
            <v>Qsep 100</v>
          </cell>
          <cell r="Q3055">
            <v>661</v>
          </cell>
          <cell r="R3055">
            <v>9.8000000000000004E-2</v>
          </cell>
        </row>
        <row r="3056">
          <cell r="E3056" t="str">
            <v>HFMET190110A0113-87-119</v>
          </cell>
          <cell r="F3056" t="str">
            <v>Meta 60，A04</v>
          </cell>
          <cell r="G3056">
            <v>20</v>
          </cell>
          <cell r="I3056">
            <v>637</v>
          </cell>
          <cell r="J3056">
            <v>0.16</v>
          </cell>
          <cell r="K3056">
            <v>0.37</v>
          </cell>
          <cell r="L3056" t="str">
            <v>不合格</v>
          </cell>
          <cell r="M3056" t="str">
            <v>王丹丹/王静静</v>
          </cell>
          <cell r="N3056" t="str">
            <v>20190114-25</v>
          </cell>
          <cell r="O3056" t="str">
            <v>Qsep 100</v>
          </cell>
          <cell r="Q3056">
            <v>637</v>
          </cell>
          <cell r="R3056">
            <v>0.11199999999999999</v>
          </cell>
        </row>
        <row r="3057">
          <cell r="E3057" t="str">
            <v>HFMET190110A0114-88-119</v>
          </cell>
          <cell r="F3057" t="str">
            <v>Meta 60，A05</v>
          </cell>
          <cell r="G3057">
            <v>20</v>
          </cell>
          <cell r="I3057">
            <v>644</v>
          </cell>
          <cell r="J3057">
            <v>1.81</v>
          </cell>
          <cell r="K3057">
            <v>4.17</v>
          </cell>
          <cell r="L3057" t="str">
            <v>合格</v>
          </cell>
          <cell r="M3057" t="str">
            <v>王丹丹/王静静</v>
          </cell>
          <cell r="N3057" t="str">
            <v>20190114-26</v>
          </cell>
          <cell r="O3057" t="str">
            <v>Qsep 100</v>
          </cell>
          <cell r="Q3057">
            <v>644</v>
          </cell>
          <cell r="R3057">
            <v>1.2669999999999999</v>
          </cell>
        </row>
        <row r="3058">
          <cell r="E3058" t="str">
            <v>HFMET190110A0115-89-119</v>
          </cell>
          <cell r="F3058" t="str">
            <v>Meta 60，A06</v>
          </cell>
          <cell r="G3058">
            <v>20</v>
          </cell>
          <cell r="I3058">
            <v>603</v>
          </cell>
          <cell r="J3058">
            <v>0.33</v>
          </cell>
          <cell r="K3058">
            <v>0.79</v>
          </cell>
          <cell r="L3058" t="str">
            <v>不合格</v>
          </cell>
          <cell r="M3058" t="str">
            <v>王丹丹/王静静</v>
          </cell>
          <cell r="N3058" t="str">
            <v>20190114-27</v>
          </cell>
          <cell r="O3058" t="str">
            <v>Qsep 100</v>
          </cell>
          <cell r="Q3058">
            <v>603</v>
          </cell>
          <cell r="R3058">
            <v>0.23099999999999998</v>
          </cell>
        </row>
        <row r="3059">
          <cell r="E3059" t="str">
            <v>HFMET190110A0116-90-119</v>
          </cell>
          <cell r="F3059" t="str">
            <v>Meta 60，A07</v>
          </cell>
          <cell r="G3059">
            <v>20</v>
          </cell>
          <cell r="I3059" t="str">
            <v>无目的峰</v>
          </cell>
          <cell r="J3059">
            <v>0.09</v>
          </cell>
          <cell r="K3059">
            <v>0.22</v>
          </cell>
          <cell r="L3059" t="str">
            <v>不合格</v>
          </cell>
          <cell r="M3059" t="str">
            <v>王丹丹/王静静</v>
          </cell>
          <cell r="N3059" t="str">
            <v>20190114-28</v>
          </cell>
          <cell r="O3059" t="str">
            <v>Qsep 100</v>
          </cell>
          <cell r="Q3059" t="str">
            <v>无目的峰</v>
          </cell>
          <cell r="R3059">
            <v>6.3E-2</v>
          </cell>
        </row>
        <row r="3060">
          <cell r="E3060" t="str">
            <v>HFMET190110A0117-91-119</v>
          </cell>
          <cell r="F3060" t="str">
            <v>Meta 60，A08</v>
          </cell>
          <cell r="G3060">
            <v>20</v>
          </cell>
          <cell r="I3060">
            <v>644</v>
          </cell>
          <cell r="J3060">
            <v>0.15</v>
          </cell>
          <cell r="K3060">
            <v>0.36</v>
          </cell>
          <cell r="L3060" t="str">
            <v>不合格</v>
          </cell>
          <cell r="M3060" t="str">
            <v>王丹丹/王静静</v>
          </cell>
          <cell r="N3060" t="str">
            <v>20190114-29</v>
          </cell>
          <cell r="O3060" t="str">
            <v>Qsep 100</v>
          </cell>
          <cell r="Q3060">
            <v>644</v>
          </cell>
          <cell r="R3060">
            <v>0.105</v>
          </cell>
        </row>
        <row r="3061">
          <cell r="E3061" t="str">
            <v>HFMET190110A0118-92-119</v>
          </cell>
          <cell r="F3061" t="str">
            <v>Meta 60，A09</v>
          </cell>
          <cell r="G3061">
            <v>20</v>
          </cell>
          <cell r="I3061">
            <v>632</v>
          </cell>
          <cell r="J3061">
            <v>0.19</v>
          </cell>
          <cell r="K3061">
            <v>0.46</v>
          </cell>
          <cell r="L3061" t="str">
            <v>不合格</v>
          </cell>
          <cell r="M3061" t="str">
            <v>王丹丹/王静静</v>
          </cell>
          <cell r="N3061" t="str">
            <v>20190114-30</v>
          </cell>
          <cell r="O3061" t="str">
            <v>Qsep 100</v>
          </cell>
          <cell r="Q3061">
            <v>632</v>
          </cell>
          <cell r="R3061">
            <v>0.13299999999999998</v>
          </cell>
        </row>
        <row r="3062">
          <cell r="E3062" t="str">
            <v>HFMET190110A0119-93-119</v>
          </cell>
          <cell r="F3062" t="str">
            <v>Meta 60，A10</v>
          </cell>
          <cell r="G3062">
            <v>20</v>
          </cell>
          <cell r="I3062" t="str">
            <v>无目的峰</v>
          </cell>
          <cell r="J3062">
            <v>7.0000000000000007E-2</v>
          </cell>
          <cell r="K3062">
            <v>0.17</v>
          </cell>
          <cell r="L3062" t="str">
            <v>不合格</v>
          </cell>
          <cell r="M3062" t="str">
            <v>王丹丹/王静静</v>
          </cell>
          <cell r="N3062" t="str">
            <v>20190114-31</v>
          </cell>
          <cell r="O3062" t="str">
            <v>Qsep 100</v>
          </cell>
          <cell r="Q3062" t="str">
            <v>无目的峰</v>
          </cell>
          <cell r="R3062">
            <v>4.9000000000000002E-2</v>
          </cell>
        </row>
        <row r="3063">
          <cell r="E3063" t="str">
            <v>HFMET190110A0120-94-119</v>
          </cell>
          <cell r="F3063" t="str">
            <v>Meta 60，A11</v>
          </cell>
          <cell r="G3063">
            <v>20</v>
          </cell>
          <cell r="I3063">
            <v>655</v>
          </cell>
          <cell r="J3063">
            <v>0.76</v>
          </cell>
          <cell r="K3063">
            <v>1.75</v>
          </cell>
          <cell r="L3063" t="str">
            <v>不合格</v>
          </cell>
          <cell r="M3063" t="str">
            <v>王丹丹/王静静</v>
          </cell>
          <cell r="N3063" t="str">
            <v>20190114-32</v>
          </cell>
          <cell r="O3063" t="str">
            <v>Qsep 100</v>
          </cell>
          <cell r="Q3063">
            <v>655</v>
          </cell>
          <cell r="R3063">
            <v>0.53199999999999992</v>
          </cell>
        </row>
        <row r="3064">
          <cell r="E3064" t="str">
            <v>HFMET190110A0121-91-139</v>
          </cell>
          <cell r="F3064" t="str">
            <v>Meta 60，A12</v>
          </cell>
          <cell r="G3064">
            <v>20</v>
          </cell>
          <cell r="I3064">
            <v>616</v>
          </cell>
          <cell r="J3064">
            <v>0.28000000000000003</v>
          </cell>
          <cell r="K3064">
            <v>0.66</v>
          </cell>
          <cell r="L3064" t="str">
            <v>不合格</v>
          </cell>
          <cell r="M3064" t="str">
            <v>王丹丹/王静静</v>
          </cell>
          <cell r="N3064" t="str">
            <v>20190114-33</v>
          </cell>
          <cell r="O3064" t="str">
            <v>Qsep 100</v>
          </cell>
          <cell r="Q3064">
            <v>616</v>
          </cell>
          <cell r="R3064">
            <v>0.19600000000000001</v>
          </cell>
        </row>
        <row r="3065">
          <cell r="E3065" t="str">
            <v>HFMET190110A0122-92-139</v>
          </cell>
          <cell r="F3065" t="str">
            <v>Meta 60，B01</v>
          </cell>
          <cell r="G3065">
            <v>20</v>
          </cell>
          <cell r="I3065" t="str">
            <v>无目的峰</v>
          </cell>
          <cell r="J3065">
            <v>0.1</v>
          </cell>
          <cell r="K3065">
            <v>0.24</v>
          </cell>
          <cell r="L3065" t="str">
            <v>不合格</v>
          </cell>
          <cell r="M3065" t="str">
            <v>王丹丹/王静静</v>
          </cell>
          <cell r="N3065" t="str">
            <v>20190114-34</v>
          </cell>
          <cell r="O3065" t="str">
            <v>Qsep 100</v>
          </cell>
          <cell r="Q3065" t="str">
            <v>无目的峰</v>
          </cell>
          <cell r="R3065">
            <v>6.9999999999999993E-2</v>
          </cell>
        </row>
        <row r="3066">
          <cell r="E3066" t="str">
            <v>HFMET190110A0123-93-139</v>
          </cell>
          <cell r="F3066" t="str">
            <v>Meta 60，B02</v>
          </cell>
          <cell r="G3066">
            <v>20</v>
          </cell>
          <cell r="I3066" t="str">
            <v>无目的峰</v>
          </cell>
          <cell r="J3066">
            <v>7.0000000000000007E-2</v>
          </cell>
          <cell r="K3066">
            <v>0.16</v>
          </cell>
          <cell r="L3066" t="str">
            <v>不合格</v>
          </cell>
          <cell r="M3066" t="str">
            <v>王丹丹/王静静</v>
          </cell>
          <cell r="N3066" t="str">
            <v>20190114-35</v>
          </cell>
          <cell r="O3066" t="str">
            <v>Qsep 100</v>
          </cell>
          <cell r="Q3066" t="str">
            <v>无目的峰</v>
          </cell>
          <cell r="R3066">
            <v>4.9000000000000002E-2</v>
          </cell>
        </row>
        <row r="3067">
          <cell r="E3067" t="str">
            <v>HFMET190110A0124-94-139</v>
          </cell>
          <cell r="F3067" t="str">
            <v>Meta 60，B03</v>
          </cell>
          <cell r="G3067">
            <v>20</v>
          </cell>
          <cell r="I3067" t="str">
            <v>无目的峰</v>
          </cell>
          <cell r="J3067">
            <v>7.0000000000000007E-2</v>
          </cell>
          <cell r="K3067">
            <v>0.17</v>
          </cell>
          <cell r="L3067" t="str">
            <v>不合格</v>
          </cell>
          <cell r="M3067" t="str">
            <v>王丹丹/王静静</v>
          </cell>
          <cell r="N3067" t="str">
            <v>20190114-36</v>
          </cell>
          <cell r="O3067" t="str">
            <v>Qsep 100</v>
          </cell>
          <cell r="Q3067" t="str">
            <v>无目的峰</v>
          </cell>
          <cell r="R3067">
            <v>4.9000000000000002E-2</v>
          </cell>
        </row>
        <row r="3068">
          <cell r="E3068" t="str">
            <v>NTC1-93-139</v>
          </cell>
          <cell r="F3068" t="str">
            <v>Meta 60，B04</v>
          </cell>
          <cell r="G3068">
            <v>20</v>
          </cell>
          <cell r="I3068">
            <v>0</v>
          </cell>
          <cell r="J3068">
            <v>0.06</v>
          </cell>
          <cell r="K3068">
            <v>0.14000000000000001</v>
          </cell>
          <cell r="L3068" t="str">
            <v>合格</v>
          </cell>
          <cell r="M3068" t="str">
            <v>王丹丹/王静静</v>
          </cell>
          <cell r="N3068" t="str">
            <v>20190114-37</v>
          </cell>
          <cell r="O3068" t="str">
            <v>Qsep 100</v>
          </cell>
          <cell r="Q3068">
            <v>0</v>
          </cell>
          <cell r="R3068">
            <v>4.1999999999999996E-2</v>
          </cell>
        </row>
        <row r="3069">
          <cell r="E3069" t="str">
            <v>NTC2-94-139</v>
          </cell>
          <cell r="F3069" t="str">
            <v>Meta 60，B05</v>
          </cell>
          <cell r="G3069">
            <v>20</v>
          </cell>
          <cell r="I3069">
            <v>0</v>
          </cell>
          <cell r="J3069">
            <v>0.05</v>
          </cell>
          <cell r="K3069">
            <v>0.12</v>
          </cell>
          <cell r="L3069" t="str">
            <v>合格</v>
          </cell>
          <cell r="M3069" t="str">
            <v>王丹丹/王静静</v>
          </cell>
          <cell r="N3069" t="str">
            <v>20190114-38</v>
          </cell>
          <cell r="O3069" t="str">
            <v>Qsep 100</v>
          </cell>
          <cell r="Q3069">
            <v>0</v>
          </cell>
          <cell r="R3069">
            <v>3.4999999999999996E-2</v>
          </cell>
        </row>
        <row r="3070">
          <cell r="E3070" t="str">
            <v>HFMET190115A0125-103-119</v>
          </cell>
          <cell r="F3070" t="str">
            <v>Meta 60，B06</v>
          </cell>
          <cell r="G3070">
            <v>20</v>
          </cell>
          <cell r="I3070">
            <v>610</v>
          </cell>
          <cell r="J3070" t="str">
            <v>20.51</v>
          </cell>
          <cell r="K3070" t="str">
            <v>47.32</v>
          </cell>
          <cell r="L3070" t="str">
            <v>合格</v>
          </cell>
          <cell r="M3070" t="str">
            <v>孙家孟/丁梅</v>
          </cell>
          <cell r="N3070" t="str">
            <v>20190115-1</v>
          </cell>
          <cell r="O3070" t="str">
            <v>Qsep 100</v>
          </cell>
          <cell r="P3070" t="str">
            <v>未均一化直接建库，取样体积不足1ul的直接以1ul取样</v>
          </cell>
          <cell r="Q3070">
            <v>610</v>
          </cell>
          <cell r="R3070">
            <v>40.199599999999997</v>
          </cell>
        </row>
        <row r="3071">
          <cell r="E3071" t="str">
            <v>HFMET190115A0126-104-119</v>
          </cell>
          <cell r="F3071" t="str">
            <v>Meta 60，B07</v>
          </cell>
          <cell r="G3071">
            <v>20</v>
          </cell>
          <cell r="I3071">
            <v>607</v>
          </cell>
          <cell r="J3071" t="str">
            <v>3.54</v>
          </cell>
          <cell r="K3071" t="str">
            <v>8.51</v>
          </cell>
          <cell r="L3071" t="str">
            <v>合格</v>
          </cell>
          <cell r="M3071" t="str">
            <v>孙家孟/丁梅</v>
          </cell>
          <cell r="N3071" t="str">
            <v>20190115-2</v>
          </cell>
          <cell r="O3071" t="str">
            <v>Qsep 100</v>
          </cell>
          <cell r="Q3071">
            <v>607</v>
          </cell>
          <cell r="R3071">
            <v>6.9383999999999997</v>
          </cell>
        </row>
        <row r="3072">
          <cell r="E3072" t="str">
            <v>HFMET190115A0127-105-119</v>
          </cell>
          <cell r="F3072" t="str">
            <v>Meta 60，B08</v>
          </cell>
          <cell r="G3072">
            <v>20</v>
          </cell>
          <cell r="I3072">
            <v>578</v>
          </cell>
          <cell r="J3072" t="str">
            <v>19.44</v>
          </cell>
          <cell r="K3072" t="str">
            <v>47.51</v>
          </cell>
          <cell r="L3072" t="str">
            <v>合格</v>
          </cell>
          <cell r="M3072" t="str">
            <v>孙家孟/丁梅</v>
          </cell>
          <cell r="N3072" t="str">
            <v>20190115-3</v>
          </cell>
          <cell r="O3072" t="str">
            <v>Qsep 100</v>
          </cell>
          <cell r="Q3072">
            <v>578</v>
          </cell>
          <cell r="R3072">
            <v>38.102400000000003</v>
          </cell>
        </row>
        <row r="3073">
          <cell r="E3073" t="str">
            <v>HFMET190115A0128-106-119</v>
          </cell>
          <cell r="F3073" t="str">
            <v>Meta 60，B09</v>
          </cell>
          <cell r="G3073">
            <v>20</v>
          </cell>
          <cell r="I3073">
            <v>593</v>
          </cell>
          <cell r="J3073" t="str">
            <v>7.08</v>
          </cell>
          <cell r="K3073" t="str">
            <v>17.18</v>
          </cell>
          <cell r="L3073" t="str">
            <v>合格</v>
          </cell>
          <cell r="M3073" t="str">
            <v>孙家孟/丁梅</v>
          </cell>
          <cell r="N3073" t="str">
            <v>20190115-4</v>
          </cell>
          <cell r="O3073" t="str">
            <v>Qsep 100</v>
          </cell>
          <cell r="Q3073">
            <v>593</v>
          </cell>
          <cell r="R3073">
            <v>13.876799999999999</v>
          </cell>
        </row>
        <row r="3074">
          <cell r="E3074" t="str">
            <v>HFMET190115A0129-107-119</v>
          </cell>
          <cell r="F3074" t="str">
            <v>Meta 60，B10</v>
          </cell>
          <cell r="G3074">
            <v>20</v>
          </cell>
          <cell r="I3074">
            <v>560</v>
          </cell>
          <cell r="J3074" t="str">
            <v>17.95</v>
          </cell>
          <cell r="K3074" t="str">
            <v>44.93</v>
          </cell>
          <cell r="L3074" t="str">
            <v>合格</v>
          </cell>
          <cell r="M3074" t="str">
            <v>孙家孟/丁梅</v>
          </cell>
          <cell r="N3074" t="str">
            <v>20190115-5</v>
          </cell>
          <cell r="O3074" t="str">
            <v>Qsep 100</v>
          </cell>
          <cell r="Q3074">
            <v>560</v>
          </cell>
          <cell r="R3074">
            <v>35.182000000000002</v>
          </cell>
        </row>
        <row r="3075">
          <cell r="E3075" t="str">
            <v>HFMET190115A0130-108-119</v>
          </cell>
          <cell r="F3075" t="str">
            <v>Meta 60，B11</v>
          </cell>
          <cell r="G3075">
            <v>20</v>
          </cell>
          <cell r="I3075">
            <v>558</v>
          </cell>
          <cell r="J3075" t="str">
            <v>27.92</v>
          </cell>
          <cell r="K3075" t="str">
            <v>70.08</v>
          </cell>
          <cell r="L3075" t="str">
            <v>合格</v>
          </cell>
          <cell r="M3075" t="str">
            <v>孙家孟/丁梅</v>
          </cell>
          <cell r="N3075" t="str">
            <v>20190115-6</v>
          </cell>
          <cell r="O3075" t="str">
            <v>Qsep 100</v>
          </cell>
          <cell r="Q3075">
            <v>558</v>
          </cell>
          <cell r="R3075">
            <v>54.723199999999999</v>
          </cell>
        </row>
        <row r="3076">
          <cell r="E3076" t="str">
            <v>HFMET190115A0131-109-119</v>
          </cell>
          <cell r="F3076" t="str">
            <v>Meta 60，B12</v>
          </cell>
          <cell r="G3076">
            <v>20</v>
          </cell>
          <cell r="I3076">
            <v>583</v>
          </cell>
          <cell r="J3076" t="str">
            <v>24.79</v>
          </cell>
          <cell r="K3076" t="str">
            <v>58.89</v>
          </cell>
          <cell r="L3076" t="str">
            <v>合格</v>
          </cell>
          <cell r="M3076" t="str">
            <v>孙家孟/丁梅</v>
          </cell>
          <cell r="N3076" t="str">
            <v>20190115-7</v>
          </cell>
          <cell r="O3076" t="str">
            <v>Qsep 100</v>
          </cell>
          <cell r="Q3076">
            <v>583</v>
          </cell>
          <cell r="R3076">
            <v>48.5884</v>
          </cell>
        </row>
        <row r="3077">
          <cell r="E3077" t="str">
            <v>HFMET190115A0132-110-119</v>
          </cell>
          <cell r="F3077" t="str">
            <v>Meta 60，C01</v>
          </cell>
          <cell r="G3077">
            <v>20</v>
          </cell>
          <cell r="I3077">
            <v>569</v>
          </cell>
          <cell r="J3077" t="str">
            <v>25.14</v>
          </cell>
          <cell r="K3077" t="str">
            <v>61.46</v>
          </cell>
          <cell r="L3077" t="str">
            <v>合格</v>
          </cell>
          <cell r="M3077" t="str">
            <v>孙家孟/丁梅</v>
          </cell>
          <cell r="N3077" t="str">
            <v>20190115-8</v>
          </cell>
          <cell r="O3077" t="str">
            <v>Qsep 100</v>
          </cell>
          <cell r="Q3077">
            <v>569</v>
          </cell>
          <cell r="R3077">
            <v>49.2744</v>
          </cell>
        </row>
        <row r="3078">
          <cell r="E3078" t="str">
            <v>HFMET190115A0133-103-120</v>
          </cell>
          <cell r="F3078" t="str">
            <v>Meta 60，C02</v>
          </cell>
          <cell r="G3078">
            <v>20</v>
          </cell>
          <cell r="I3078">
            <v>580</v>
          </cell>
          <cell r="J3078" t="str">
            <v>21.21</v>
          </cell>
          <cell r="K3078" t="str">
            <v>51.24</v>
          </cell>
          <cell r="L3078" t="str">
            <v>合格</v>
          </cell>
          <cell r="M3078" t="str">
            <v>孙家孟/丁梅</v>
          </cell>
          <cell r="N3078" t="str">
            <v>20190115-9</v>
          </cell>
          <cell r="O3078" t="str">
            <v>Qsep 100</v>
          </cell>
          <cell r="Q3078">
            <v>580</v>
          </cell>
          <cell r="R3078">
            <v>41.571599999999997</v>
          </cell>
        </row>
        <row r="3079">
          <cell r="E3079" t="str">
            <v>HFMET190115A0134-104-120</v>
          </cell>
          <cell r="F3079" t="str">
            <v>Meta 60，C03</v>
          </cell>
          <cell r="G3079">
            <v>20</v>
          </cell>
          <cell r="I3079">
            <v>595</v>
          </cell>
          <cell r="J3079" t="str">
            <v>17.41</v>
          </cell>
          <cell r="K3079" t="str">
            <v>41.46</v>
          </cell>
          <cell r="L3079" t="str">
            <v>合格</v>
          </cell>
          <cell r="M3079" t="str">
            <v>孙家孟/丁梅</v>
          </cell>
          <cell r="N3079" t="str">
            <v>20190115-10</v>
          </cell>
          <cell r="O3079" t="str">
            <v>Qsep 100</v>
          </cell>
          <cell r="Q3079">
            <v>595</v>
          </cell>
          <cell r="R3079">
            <v>34.123600000000003</v>
          </cell>
        </row>
        <row r="3080">
          <cell r="E3080" t="str">
            <v>HFMET190115A0135-105-120</v>
          </cell>
          <cell r="F3080" t="str">
            <v>Meta 60，C04</v>
          </cell>
          <cell r="G3080">
            <v>20</v>
          </cell>
          <cell r="I3080">
            <v>590</v>
          </cell>
          <cell r="J3080" t="str">
            <v>19.60</v>
          </cell>
          <cell r="K3080" t="str">
            <v>46.96</v>
          </cell>
          <cell r="L3080" t="str">
            <v>合格</v>
          </cell>
          <cell r="M3080" t="str">
            <v>孙家孟/丁梅</v>
          </cell>
          <cell r="N3080" t="str">
            <v>20190115-11</v>
          </cell>
          <cell r="O3080" t="str">
            <v>Qsep 100</v>
          </cell>
          <cell r="Q3080">
            <v>590</v>
          </cell>
          <cell r="R3080">
            <v>38.415999999999997</v>
          </cell>
        </row>
        <row r="3081">
          <cell r="E3081" t="str">
            <v>HFMET190115A0136-106-120</v>
          </cell>
          <cell r="F3081" t="str">
            <v>Meta 60，C05</v>
          </cell>
          <cell r="G3081">
            <v>20</v>
          </cell>
          <cell r="I3081">
            <v>603</v>
          </cell>
          <cell r="J3081" t="str">
            <v>10.99</v>
          </cell>
          <cell r="K3081" t="str">
            <v>25.96</v>
          </cell>
          <cell r="L3081" t="str">
            <v>合格</v>
          </cell>
          <cell r="M3081" t="str">
            <v>孙家孟/丁梅</v>
          </cell>
          <cell r="N3081" t="str">
            <v>20190115-12</v>
          </cell>
          <cell r="O3081" t="str">
            <v>Qsep 100</v>
          </cell>
          <cell r="Q3081">
            <v>603</v>
          </cell>
          <cell r="R3081">
            <v>21.540400000000002</v>
          </cell>
        </row>
        <row r="3082">
          <cell r="E3082" t="str">
            <v>HFMET190115A0137-107-120</v>
          </cell>
          <cell r="F3082" t="str">
            <v>Meta 60，C06</v>
          </cell>
          <cell r="G3082">
            <v>20</v>
          </cell>
          <cell r="I3082">
            <v>585</v>
          </cell>
          <cell r="J3082" t="str">
            <v>20.90</v>
          </cell>
          <cell r="K3082" t="str">
            <v>49.22</v>
          </cell>
          <cell r="L3082" t="str">
            <v>合格</v>
          </cell>
          <cell r="M3082" t="str">
            <v>孙家孟/丁梅</v>
          </cell>
          <cell r="N3082" t="str">
            <v>20190115-13</v>
          </cell>
          <cell r="O3082" t="str">
            <v>Qsep 100</v>
          </cell>
          <cell r="Q3082">
            <v>585</v>
          </cell>
          <cell r="R3082">
            <v>40.963999999999999</v>
          </cell>
        </row>
        <row r="3083">
          <cell r="E3083" t="str">
            <v>HFMET190115A0138-108-120</v>
          </cell>
          <cell r="F3083" t="str">
            <v>Meta 60，C07</v>
          </cell>
          <cell r="G3083">
            <v>20</v>
          </cell>
          <cell r="I3083">
            <v>585</v>
          </cell>
          <cell r="J3083" t="str">
            <v>26.81</v>
          </cell>
          <cell r="K3083" t="str">
            <v>63.55</v>
          </cell>
          <cell r="L3083" t="str">
            <v>合格</v>
          </cell>
          <cell r="M3083" t="str">
            <v>孙家孟/丁梅</v>
          </cell>
          <cell r="N3083" t="str">
            <v>20190115-14</v>
          </cell>
          <cell r="O3083" t="str">
            <v>Qsep 100</v>
          </cell>
          <cell r="Q3083">
            <v>585</v>
          </cell>
          <cell r="R3083">
            <v>52.547600000000003</v>
          </cell>
        </row>
        <row r="3084">
          <cell r="E3084" t="str">
            <v>HFMET190115A0139-109-120</v>
          </cell>
          <cell r="F3084" t="str">
            <v>Meta 60，C08</v>
          </cell>
          <cell r="G3084">
            <v>20</v>
          </cell>
          <cell r="I3084">
            <v>593</v>
          </cell>
          <cell r="J3084" t="str">
            <v>21.64</v>
          </cell>
          <cell r="K3084" t="str">
            <v>50.94</v>
          </cell>
          <cell r="L3084" t="str">
            <v>合格</v>
          </cell>
          <cell r="M3084" t="str">
            <v>孙家孟/丁梅</v>
          </cell>
          <cell r="N3084" t="str">
            <v>20190115-15</v>
          </cell>
          <cell r="O3084" t="str">
            <v>Qsep 100</v>
          </cell>
          <cell r="Q3084">
            <v>593</v>
          </cell>
          <cell r="R3084">
            <v>42.414400000000001</v>
          </cell>
        </row>
        <row r="3085">
          <cell r="E3085" t="str">
            <v>HFMET190115A0140-110-120</v>
          </cell>
          <cell r="F3085" t="str">
            <v>Meta 60，C09</v>
          </cell>
          <cell r="G3085">
            <v>20</v>
          </cell>
          <cell r="I3085">
            <v>580</v>
          </cell>
          <cell r="J3085" t="str">
            <v>21.46</v>
          </cell>
          <cell r="K3085" t="str">
            <v>52.01</v>
          </cell>
          <cell r="L3085" t="str">
            <v>合格</v>
          </cell>
          <cell r="M3085" t="str">
            <v>孙家孟/丁梅</v>
          </cell>
          <cell r="N3085" t="str">
            <v>20190115-16</v>
          </cell>
          <cell r="O3085" t="str">
            <v>Qsep 100</v>
          </cell>
          <cell r="Q3085">
            <v>580</v>
          </cell>
          <cell r="R3085">
            <v>42.061599999999999</v>
          </cell>
        </row>
        <row r="3086">
          <cell r="E3086" t="str">
            <v>HFMET190115A0141-103-126</v>
          </cell>
          <cell r="F3086" t="str">
            <v>Meta 60，C10</v>
          </cell>
          <cell r="G3086">
            <v>20</v>
          </cell>
          <cell r="I3086">
            <v>611</v>
          </cell>
          <cell r="J3086" t="str">
            <v>16.15</v>
          </cell>
          <cell r="K3086" t="str">
            <v>37.30</v>
          </cell>
          <cell r="L3086" t="str">
            <v>合格</v>
          </cell>
          <cell r="M3086" t="str">
            <v>孙家孟/丁梅</v>
          </cell>
          <cell r="N3086" t="str">
            <v>20190115-17</v>
          </cell>
          <cell r="O3086" t="str">
            <v>Qsep 100</v>
          </cell>
          <cell r="Q3086">
            <v>611</v>
          </cell>
          <cell r="R3086">
            <v>31.654</v>
          </cell>
        </row>
        <row r="3087">
          <cell r="E3087" t="str">
            <v>HFMET190115A0142-104-126</v>
          </cell>
          <cell r="F3087" t="str">
            <v>Meta 60，C11</v>
          </cell>
          <cell r="G3087">
            <v>20</v>
          </cell>
          <cell r="I3087">
            <v>584</v>
          </cell>
          <cell r="J3087" t="str">
            <v>23.10</v>
          </cell>
          <cell r="K3087" t="str">
            <v>55.63</v>
          </cell>
          <cell r="L3087" t="str">
            <v>合格</v>
          </cell>
          <cell r="M3087" t="str">
            <v>孙家孟/丁梅</v>
          </cell>
          <cell r="N3087" t="str">
            <v>20190115-18</v>
          </cell>
          <cell r="O3087" t="str">
            <v>Qsep 100</v>
          </cell>
          <cell r="Q3087">
            <v>584</v>
          </cell>
          <cell r="R3087">
            <v>45.276000000000003</v>
          </cell>
        </row>
        <row r="3088">
          <cell r="E3088" t="str">
            <v>HFMET190115A0143-105-126</v>
          </cell>
          <cell r="F3088" t="str">
            <v>Meta 60，C12</v>
          </cell>
          <cell r="G3088">
            <v>20</v>
          </cell>
          <cell r="I3088">
            <v>593</v>
          </cell>
          <cell r="J3088" t="str">
            <v>18.27</v>
          </cell>
          <cell r="K3088" t="str">
            <v>42.78</v>
          </cell>
          <cell r="L3088" t="str">
            <v>合格</v>
          </cell>
          <cell r="M3088" t="str">
            <v>孙家孟/丁梅</v>
          </cell>
          <cell r="N3088" t="str">
            <v>20190115-19</v>
          </cell>
          <cell r="O3088" t="str">
            <v>Qsep 100</v>
          </cell>
          <cell r="Q3088">
            <v>593</v>
          </cell>
          <cell r="R3088">
            <v>35.809199999999997</v>
          </cell>
        </row>
        <row r="3089">
          <cell r="E3089" t="str">
            <v>HFMET190115A0144-106-126</v>
          </cell>
          <cell r="F3089" t="str">
            <v>Meta 60，D01</v>
          </cell>
          <cell r="G3089">
            <v>20</v>
          </cell>
          <cell r="I3089">
            <v>614</v>
          </cell>
          <cell r="J3089" t="str">
            <v>20.39</v>
          </cell>
          <cell r="K3089" t="str">
            <v>46.80</v>
          </cell>
          <cell r="L3089" t="str">
            <v>合格</v>
          </cell>
          <cell r="M3089" t="str">
            <v>孙家孟/丁梅</v>
          </cell>
          <cell r="N3089" t="str">
            <v>20190115-20</v>
          </cell>
          <cell r="O3089" t="str">
            <v>Qsep 100</v>
          </cell>
          <cell r="Q3089">
            <v>614</v>
          </cell>
          <cell r="R3089">
            <v>39.964399999999998</v>
          </cell>
        </row>
        <row r="3090">
          <cell r="E3090" t="str">
            <v>HFMET190115A0145-107-126</v>
          </cell>
          <cell r="F3090" t="str">
            <v>Meta 60，D02</v>
          </cell>
          <cell r="G3090">
            <v>20</v>
          </cell>
          <cell r="I3090">
            <v>571</v>
          </cell>
          <cell r="J3090" t="str">
            <v>28.46</v>
          </cell>
          <cell r="K3090" t="str">
            <v>69.29</v>
          </cell>
          <cell r="L3090" t="str">
            <v>合格</v>
          </cell>
          <cell r="M3090" t="str">
            <v>孙家孟/丁梅</v>
          </cell>
          <cell r="N3090" t="str">
            <v>20190115-21</v>
          </cell>
          <cell r="O3090" t="str">
            <v>Qsep 100</v>
          </cell>
          <cell r="Q3090">
            <v>571</v>
          </cell>
          <cell r="R3090">
            <v>55.781599999999997</v>
          </cell>
        </row>
        <row r="3091">
          <cell r="E3091" t="str">
            <v>HFMET190115A0146-108-126</v>
          </cell>
          <cell r="F3091" t="str">
            <v>Meta 60，D03</v>
          </cell>
          <cell r="G3091">
            <v>20</v>
          </cell>
          <cell r="I3091">
            <v>569</v>
          </cell>
          <cell r="J3091" t="str">
            <v>33.39</v>
          </cell>
          <cell r="K3091" t="str">
            <v>82.06</v>
          </cell>
          <cell r="L3091" t="str">
            <v>合格</v>
          </cell>
          <cell r="M3091" t="str">
            <v>孙家孟/丁梅</v>
          </cell>
          <cell r="N3091" t="str">
            <v>20190115-22</v>
          </cell>
          <cell r="O3091" t="str">
            <v>Qsep 100</v>
          </cell>
          <cell r="Q3091">
            <v>569</v>
          </cell>
          <cell r="R3091">
            <v>65.444400000000002</v>
          </cell>
        </row>
        <row r="3092">
          <cell r="E3092" t="str">
            <v>HFMET190115A0147-109-126</v>
          </cell>
          <cell r="F3092" t="str">
            <v>Meta 60，D04</v>
          </cell>
          <cell r="G3092">
            <v>20</v>
          </cell>
          <cell r="I3092">
            <v>593</v>
          </cell>
          <cell r="J3092" t="str">
            <v>30.72</v>
          </cell>
          <cell r="K3092" t="str">
            <v>71.02</v>
          </cell>
          <cell r="L3092" t="str">
            <v>合格</v>
          </cell>
          <cell r="M3092" t="str">
            <v>孙家孟/丁梅</v>
          </cell>
          <cell r="N3092" t="str">
            <v>20190115-23</v>
          </cell>
          <cell r="O3092" t="str">
            <v>Qsep 100</v>
          </cell>
          <cell r="Q3092">
            <v>593</v>
          </cell>
          <cell r="R3092">
            <v>60.211199999999998</v>
          </cell>
        </row>
        <row r="3093">
          <cell r="E3093" t="str">
            <v>HFMET190115A0148-110-126</v>
          </cell>
          <cell r="F3093" t="str">
            <v>Meta 60，D05</v>
          </cell>
          <cell r="G3093">
            <v>20</v>
          </cell>
          <cell r="I3093">
            <v>564</v>
          </cell>
          <cell r="J3093">
            <v>36.71</v>
          </cell>
          <cell r="K3093" t="str">
            <v>90.79</v>
          </cell>
          <cell r="L3093" t="str">
            <v>合格</v>
          </cell>
          <cell r="M3093" t="str">
            <v>孙家孟/丁梅</v>
          </cell>
          <cell r="N3093" t="str">
            <v>20190115-24</v>
          </cell>
          <cell r="O3093" t="str">
            <v>Qsep 100</v>
          </cell>
          <cell r="Q3093">
            <v>564</v>
          </cell>
          <cell r="R3093">
            <v>71.951599999999999</v>
          </cell>
        </row>
        <row r="3094">
          <cell r="E3094" t="str">
            <v>HFMET190115A0149-103-133</v>
          </cell>
          <cell r="F3094" t="str">
            <v>Meta 60，D06</v>
          </cell>
          <cell r="G3094">
            <v>20</v>
          </cell>
          <cell r="I3094">
            <v>620</v>
          </cell>
          <cell r="J3094" t="str">
            <v>15.82</v>
          </cell>
          <cell r="K3094" t="str">
            <v>35.81</v>
          </cell>
          <cell r="L3094" t="str">
            <v>合格</v>
          </cell>
          <cell r="M3094" t="str">
            <v>孙家孟/丁梅</v>
          </cell>
          <cell r="N3094" t="str">
            <v>20190115-25</v>
          </cell>
          <cell r="O3094" t="str">
            <v>Qsep 100</v>
          </cell>
          <cell r="Q3094">
            <v>620</v>
          </cell>
          <cell r="R3094">
            <v>31.007200000000001</v>
          </cell>
        </row>
        <row r="3095">
          <cell r="E3095" t="str">
            <v>HFMET190115A0150-104-133</v>
          </cell>
          <cell r="F3095" t="str">
            <v>Meta 60，D07</v>
          </cell>
          <cell r="G3095">
            <v>20</v>
          </cell>
          <cell r="I3095">
            <v>601</v>
          </cell>
          <cell r="J3095" t="str">
            <v>20.64</v>
          </cell>
          <cell r="K3095" t="str">
            <v>48.41</v>
          </cell>
          <cell r="L3095" t="str">
            <v>合格</v>
          </cell>
          <cell r="M3095" t="str">
            <v>孙家孟/丁梅</v>
          </cell>
          <cell r="N3095" t="str">
            <v>20190115-26</v>
          </cell>
          <cell r="O3095" t="str">
            <v>Qsep 100</v>
          </cell>
          <cell r="Q3095">
            <v>601</v>
          </cell>
          <cell r="R3095">
            <v>40.4544</v>
          </cell>
        </row>
        <row r="3096">
          <cell r="E3096" t="str">
            <v>HFMET190115A0151-105-133</v>
          </cell>
          <cell r="F3096" t="str">
            <v>Meta 60，D08</v>
          </cell>
          <cell r="G3096">
            <v>20</v>
          </cell>
          <cell r="I3096">
            <v>598</v>
          </cell>
          <cell r="J3096" t="str">
            <v>22.54</v>
          </cell>
          <cell r="K3096" t="str">
            <v>53.29</v>
          </cell>
          <cell r="L3096" t="str">
            <v>合格</v>
          </cell>
          <cell r="M3096" t="str">
            <v>孙家孟/丁梅</v>
          </cell>
          <cell r="N3096" t="str">
            <v>20190115-27</v>
          </cell>
          <cell r="O3096" t="str">
            <v>Qsep 100</v>
          </cell>
          <cell r="Q3096">
            <v>598</v>
          </cell>
          <cell r="R3096">
            <v>44.178400000000003</v>
          </cell>
        </row>
        <row r="3097">
          <cell r="E3097" t="str">
            <v>HFMET190115A0152-106-133</v>
          </cell>
          <cell r="F3097" t="str">
            <v>Meta 60，D09</v>
          </cell>
          <cell r="G3097">
            <v>20</v>
          </cell>
          <cell r="I3097">
            <v>604</v>
          </cell>
          <cell r="J3097" t="str">
            <v>25.50</v>
          </cell>
          <cell r="K3097" t="str">
            <v>59.51</v>
          </cell>
          <cell r="L3097" t="str">
            <v>合格</v>
          </cell>
          <cell r="M3097" t="str">
            <v>孙家孟/丁梅</v>
          </cell>
          <cell r="N3097" t="str">
            <v>20190115-28</v>
          </cell>
          <cell r="O3097" t="str">
            <v>Qsep 100</v>
          </cell>
          <cell r="Q3097">
            <v>604</v>
          </cell>
          <cell r="R3097">
            <v>49.98</v>
          </cell>
        </row>
        <row r="3098">
          <cell r="E3098" t="str">
            <v>HFMET190115A0153-107-133</v>
          </cell>
          <cell r="F3098" t="str">
            <v>Meta 60，D10</v>
          </cell>
          <cell r="G3098">
            <v>20</v>
          </cell>
          <cell r="I3098">
            <v>587</v>
          </cell>
          <cell r="J3098" t="str">
            <v>31.06</v>
          </cell>
          <cell r="K3098" t="str">
            <v>73.92</v>
          </cell>
          <cell r="L3098" t="str">
            <v>合格</v>
          </cell>
          <cell r="M3098" t="str">
            <v>孙家孟/丁梅</v>
          </cell>
          <cell r="N3098" t="str">
            <v>20190115-29</v>
          </cell>
          <cell r="O3098" t="str">
            <v>Qsep 100</v>
          </cell>
          <cell r="Q3098">
            <v>587</v>
          </cell>
          <cell r="R3098">
            <v>60.877600000000001</v>
          </cell>
        </row>
        <row r="3099">
          <cell r="E3099" t="str">
            <v>HFMET190115A0154-108-133</v>
          </cell>
          <cell r="F3099" t="str">
            <v>Meta 60，D11</v>
          </cell>
          <cell r="G3099">
            <v>20</v>
          </cell>
          <cell r="I3099">
            <v>608</v>
          </cell>
          <cell r="J3099" t="str">
            <v>33.90</v>
          </cell>
          <cell r="K3099" t="str">
            <v>78.37</v>
          </cell>
          <cell r="L3099" t="str">
            <v>合格</v>
          </cell>
          <cell r="M3099" t="str">
            <v>孙家孟/丁梅</v>
          </cell>
          <cell r="N3099" t="str">
            <v>20190115-30</v>
          </cell>
          <cell r="O3099" t="str">
            <v>Qsep 100</v>
          </cell>
          <cell r="Q3099">
            <v>608</v>
          </cell>
          <cell r="R3099">
            <v>66.444000000000003</v>
          </cell>
        </row>
        <row r="3100">
          <cell r="E3100" t="str">
            <v>NTC-109-133</v>
          </cell>
          <cell r="F3100" t="str">
            <v>Meta 60，D12</v>
          </cell>
          <cell r="G3100">
            <v>20</v>
          </cell>
          <cell r="I3100" t="str">
            <v>无目的峰</v>
          </cell>
          <cell r="J3100" t="str">
            <v>0.13</v>
          </cell>
          <cell r="K3100" t="str">
            <v>0.29</v>
          </cell>
          <cell r="L3100" t="str">
            <v>合格</v>
          </cell>
          <cell r="M3100" t="str">
            <v>孙家孟/丁梅</v>
          </cell>
          <cell r="N3100" t="str">
            <v>20190115-31</v>
          </cell>
          <cell r="O3100" t="str">
            <v>Qsep 100</v>
          </cell>
          <cell r="Q3100" t="str">
            <v>无目的峰</v>
          </cell>
          <cell r="R3100">
            <v>0.25480000000000003</v>
          </cell>
        </row>
        <row r="3101">
          <cell r="E3101" t="str">
            <v>NTC-110-133</v>
          </cell>
          <cell r="F3101" t="str">
            <v>Meta 60，E01</v>
          </cell>
          <cell r="G3101">
            <v>20</v>
          </cell>
          <cell r="I3101" t="str">
            <v>无目的峰</v>
          </cell>
          <cell r="J3101" t="str">
            <v>0.07</v>
          </cell>
          <cell r="K3101" t="str">
            <v>0.17</v>
          </cell>
          <cell r="L3101" t="str">
            <v>合格</v>
          </cell>
          <cell r="M3101" t="str">
            <v>孙家孟/丁梅</v>
          </cell>
          <cell r="N3101" t="str">
            <v>20190115-32</v>
          </cell>
          <cell r="O3101" t="str">
            <v>Qsep 100</v>
          </cell>
          <cell r="Q3101" t="str">
            <v>无目的峰</v>
          </cell>
          <cell r="R3101">
            <v>0.13719999999999999</v>
          </cell>
        </row>
        <row r="3102">
          <cell r="E3102" t="str">
            <v>HFMET190115A0155-63-77</v>
          </cell>
          <cell r="F3102" t="str">
            <v>Meta 60，E02</v>
          </cell>
          <cell r="G3102">
            <v>20</v>
          </cell>
          <cell r="I3102">
            <v>503</v>
          </cell>
          <cell r="J3102">
            <v>3.29</v>
          </cell>
          <cell r="K3102" t="str">
            <v>9.85</v>
          </cell>
          <cell r="L3102" t="str">
            <v>合格</v>
          </cell>
          <cell r="M3102" t="str">
            <v>孙家孟/丁梅</v>
          </cell>
          <cell r="N3102" t="str">
            <v>20190115-33</v>
          </cell>
          <cell r="O3102" t="str">
            <v>Qsep 100</v>
          </cell>
          <cell r="Q3102">
            <v>503</v>
          </cell>
          <cell r="R3102">
            <v>6.4484000000000004</v>
          </cell>
        </row>
        <row r="3103">
          <cell r="E3103" t="str">
            <v>NTC-63-77</v>
          </cell>
          <cell r="F3103" t="str">
            <v>Meta 60，E03</v>
          </cell>
          <cell r="G3103">
            <v>20</v>
          </cell>
          <cell r="I3103" t="str">
            <v>无目的峰</v>
          </cell>
          <cell r="J3103" t="str">
            <v>0.00</v>
          </cell>
          <cell r="K3103" t="str">
            <v>0.00</v>
          </cell>
          <cell r="L3103" t="str">
            <v>合格</v>
          </cell>
          <cell r="M3103" t="str">
            <v>孙家孟/丁梅</v>
          </cell>
          <cell r="N3103" t="str">
            <v>20190115-34</v>
          </cell>
          <cell r="O3103" t="str">
            <v>Qsep 100</v>
          </cell>
          <cell r="Q3103" t="str">
            <v>无目的峰</v>
          </cell>
          <cell r="R3103">
            <v>0</v>
          </cell>
        </row>
        <row r="3104">
          <cell r="E3104" t="str">
            <v>HFMET190123A0156-109-114</v>
          </cell>
          <cell r="F3104" t="str">
            <v>Meta 60，E04</v>
          </cell>
          <cell r="G3104">
            <v>18</v>
          </cell>
          <cell r="H3104" t="str">
            <v>肠道</v>
          </cell>
          <cell r="I3104">
            <v>618</v>
          </cell>
          <cell r="J3104">
            <v>30.068999999999999</v>
          </cell>
          <cell r="K3104">
            <v>78.231899999999996</v>
          </cell>
          <cell r="L3104" t="str">
            <v>合格</v>
          </cell>
          <cell r="M3104" t="str">
            <v>周强/涂宜帅/王璇</v>
          </cell>
          <cell r="N3104" t="str">
            <v>2019 01 24 15-32-57</v>
          </cell>
          <cell r="O3104" t="str">
            <v>FA SS 1-6K</v>
          </cell>
          <cell r="Q3104">
            <v>618</v>
          </cell>
          <cell r="R3104">
            <v>30.068999999999999</v>
          </cell>
          <cell r="S3104">
            <v>78.231899999999996</v>
          </cell>
          <cell r="T3104" t="str">
            <v>合格</v>
          </cell>
          <cell r="U3104" t="str">
            <v>FA定量</v>
          </cell>
          <cell r="Z3104">
            <v>622</v>
          </cell>
          <cell r="AA3104">
            <v>33.658200000000001</v>
          </cell>
        </row>
        <row r="3105">
          <cell r="E3105" t="str">
            <v>HFMET190123A0157-110-114</v>
          </cell>
          <cell r="F3105" t="str">
            <v>Meta 60，E05</v>
          </cell>
          <cell r="G3105">
            <v>18</v>
          </cell>
          <cell r="H3105" t="str">
            <v>肠道</v>
          </cell>
          <cell r="I3105">
            <v>627</v>
          </cell>
          <cell r="J3105">
            <v>32.761800000000001</v>
          </cell>
          <cell r="K3105">
            <v>83.941900000000004</v>
          </cell>
          <cell r="L3105" t="str">
            <v>合格</v>
          </cell>
          <cell r="M3105" t="str">
            <v>周强/涂宜帅/王璇</v>
          </cell>
          <cell r="N3105" t="str">
            <v>2019 01 24 15-32-57</v>
          </cell>
          <cell r="O3105" t="str">
            <v>FA SS 1-6K</v>
          </cell>
          <cell r="Q3105">
            <v>627</v>
          </cell>
          <cell r="R3105">
            <v>32.761800000000001</v>
          </cell>
          <cell r="S3105">
            <v>83.941900000000004</v>
          </cell>
          <cell r="T3105" t="str">
            <v>合格</v>
          </cell>
          <cell r="U3105" t="str">
            <v>FA定量</v>
          </cell>
          <cell r="Z3105">
            <v>608</v>
          </cell>
          <cell r="AA3105">
            <v>46.639099999999999</v>
          </cell>
        </row>
        <row r="3106">
          <cell r="E3106" t="str">
            <v>HFMET190123A0158-95-119</v>
          </cell>
          <cell r="F3106" t="str">
            <v>Meta 60，E06</v>
          </cell>
          <cell r="G3106">
            <v>18</v>
          </cell>
          <cell r="H3106" t="str">
            <v>肠道</v>
          </cell>
          <cell r="I3106">
            <v>609</v>
          </cell>
          <cell r="J3106">
            <v>29.122599999999998</v>
          </cell>
          <cell r="K3106">
            <v>76.811400000000006</v>
          </cell>
          <cell r="L3106" t="str">
            <v>合格</v>
          </cell>
          <cell r="M3106" t="str">
            <v>周强/涂宜帅/王璇</v>
          </cell>
          <cell r="N3106" t="str">
            <v>2019 01 24 15-32-57</v>
          </cell>
          <cell r="O3106" t="str">
            <v>FA SS 1-6K</v>
          </cell>
          <cell r="Q3106">
            <v>609</v>
          </cell>
          <cell r="R3106">
            <v>29.122599999999998</v>
          </cell>
          <cell r="S3106">
            <v>76.811400000000006</v>
          </cell>
          <cell r="T3106" t="str">
            <v>合格</v>
          </cell>
          <cell r="U3106" t="str">
            <v>FA定量</v>
          </cell>
          <cell r="Z3106">
            <v>597</v>
          </cell>
          <cell r="AA3106">
            <v>38.563299999999998</v>
          </cell>
        </row>
        <row r="3107">
          <cell r="E3107" t="str">
            <v>HFMET190123A0159-96-119</v>
          </cell>
          <cell r="F3107" t="str">
            <v>Meta 60，E07</v>
          </cell>
          <cell r="G3107">
            <v>18</v>
          </cell>
          <cell r="H3107" t="str">
            <v>肠道</v>
          </cell>
          <cell r="I3107">
            <v>584</v>
          </cell>
          <cell r="J3107">
            <v>29.4373</v>
          </cell>
          <cell r="K3107">
            <v>77.949200000000005</v>
          </cell>
          <cell r="L3107" t="str">
            <v>合格</v>
          </cell>
          <cell r="M3107" t="str">
            <v>周强/涂宜帅/王璇</v>
          </cell>
          <cell r="N3107" t="str">
            <v>2019 01 24 15-32-57</v>
          </cell>
          <cell r="O3107" t="str">
            <v>FA SS 1-6K</v>
          </cell>
          <cell r="Q3107">
            <v>584</v>
          </cell>
          <cell r="R3107">
            <v>29.4373</v>
          </cell>
          <cell r="S3107">
            <v>77.949200000000005</v>
          </cell>
          <cell r="T3107" t="str">
            <v>合格</v>
          </cell>
          <cell r="U3107" t="str">
            <v>FA定量</v>
          </cell>
          <cell r="Z3107">
            <v>591</v>
          </cell>
          <cell r="AA3107">
            <v>39.945399999999999</v>
          </cell>
        </row>
        <row r="3108">
          <cell r="E3108" t="str">
            <v>HFMET190123A0160-97-119</v>
          </cell>
          <cell r="F3108" t="str">
            <v>Meta 60，E08</v>
          </cell>
          <cell r="G3108">
            <v>18</v>
          </cell>
          <cell r="H3108" t="str">
            <v>肠道</v>
          </cell>
          <cell r="I3108">
            <v>614</v>
          </cell>
          <cell r="J3108">
            <v>35.073300000000003</v>
          </cell>
          <cell r="K3108">
            <v>89.395499999999998</v>
          </cell>
          <cell r="L3108" t="str">
            <v>合格</v>
          </cell>
          <cell r="M3108" t="str">
            <v>周强/涂宜帅/王璇</v>
          </cell>
          <cell r="N3108" t="str">
            <v>2019 01 24 15-32-57</v>
          </cell>
          <cell r="O3108" t="str">
            <v>FA SS 1-6K</v>
          </cell>
          <cell r="Q3108">
            <v>614</v>
          </cell>
          <cell r="R3108">
            <v>35.073300000000003</v>
          </cell>
          <cell r="S3108">
            <v>89.395499999999998</v>
          </cell>
          <cell r="T3108" t="str">
            <v>合格</v>
          </cell>
          <cell r="U3108" t="str">
            <v>FA定量</v>
          </cell>
          <cell r="Z3108">
            <v>631</v>
          </cell>
          <cell r="AA3108">
            <v>29.105399999999999</v>
          </cell>
        </row>
        <row r="3109">
          <cell r="E3109" t="str">
            <v>HFMET190123A0161-98-119</v>
          </cell>
          <cell r="F3109" t="str">
            <v>Meta 60，E09</v>
          </cell>
          <cell r="G3109">
            <v>18</v>
          </cell>
          <cell r="H3109" t="str">
            <v>肠道</v>
          </cell>
          <cell r="I3109">
            <v>609</v>
          </cell>
          <cell r="J3109">
            <v>27.873200000000001</v>
          </cell>
          <cell r="K3109">
            <v>71.898300000000006</v>
          </cell>
          <cell r="L3109" t="str">
            <v>合格</v>
          </cell>
          <cell r="M3109" t="str">
            <v>周强/涂宜帅/王璇</v>
          </cell>
          <cell r="N3109" t="str">
            <v>2019 01 24 15-32-57</v>
          </cell>
          <cell r="O3109" t="str">
            <v>FA SS 1-6K</v>
          </cell>
          <cell r="Q3109">
            <v>609</v>
          </cell>
          <cell r="R3109">
            <v>27.873200000000001</v>
          </cell>
          <cell r="S3109">
            <v>71.898300000000006</v>
          </cell>
          <cell r="T3109" t="str">
            <v>合格</v>
          </cell>
          <cell r="U3109" t="str">
            <v>FA定量</v>
          </cell>
          <cell r="Z3109">
            <v>628</v>
          </cell>
          <cell r="AA3109">
            <v>26.395399999999999</v>
          </cell>
        </row>
        <row r="3110">
          <cell r="E3110" t="str">
            <v>HFMET190123A0162-99-119</v>
          </cell>
          <cell r="F3110" t="str">
            <v>Meta 60，E10</v>
          </cell>
          <cell r="G3110">
            <v>18</v>
          </cell>
          <cell r="H3110" t="str">
            <v>肠道</v>
          </cell>
          <cell r="I3110">
            <v>613</v>
          </cell>
          <cell r="J3110">
            <v>27.091000000000001</v>
          </cell>
          <cell r="K3110">
            <v>70.926699999999997</v>
          </cell>
          <cell r="L3110" t="str">
            <v>合格</v>
          </cell>
          <cell r="M3110" t="str">
            <v>周强/涂宜帅/王璇</v>
          </cell>
          <cell r="N3110" t="str">
            <v>2019 01 24 15-32-57</v>
          </cell>
          <cell r="O3110" t="str">
            <v>FA SS 1-6K</v>
          </cell>
          <cell r="Q3110">
            <v>613</v>
          </cell>
          <cell r="R3110">
            <v>27.091000000000001</v>
          </cell>
          <cell r="S3110">
            <v>70.926699999999997</v>
          </cell>
          <cell r="T3110" t="str">
            <v>合格</v>
          </cell>
          <cell r="U3110" t="str">
            <v>FA定量</v>
          </cell>
          <cell r="Z3110">
            <v>640</v>
          </cell>
          <cell r="AA3110">
            <v>27.723300000000002</v>
          </cell>
        </row>
        <row r="3111">
          <cell r="E3111" t="str">
            <v>HFMET190123A0163-100-119</v>
          </cell>
          <cell r="F3111" t="str">
            <v>Meta 60，E11</v>
          </cell>
          <cell r="G3111">
            <v>18</v>
          </cell>
          <cell r="H3111" t="str">
            <v>粪便</v>
          </cell>
          <cell r="I3111">
            <v>580</v>
          </cell>
          <cell r="J3111">
            <v>3.1057000000000001</v>
          </cell>
          <cell r="K3111">
            <v>9.0495000000000001</v>
          </cell>
          <cell r="L3111" t="str">
            <v>合格</v>
          </cell>
          <cell r="M3111" t="str">
            <v>周强/涂宜帅/王璇</v>
          </cell>
          <cell r="N3111" t="str">
            <v>2019 01 24 15-32-57</v>
          </cell>
          <cell r="O3111" t="str">
            <v>FA SS 1-6K</v>
          </cell>
          <cell r="Q3111">
            <v>580</v>
          </cell>
          <cell r="R3111">
            <v>3.1057000000000001</v>
          </cell>
        </row>
        <row r="3112">
          <cell r="E3112" t="str">
            <v>HFMET190123A0164-101-119</v>
          </cell>
          <cell r="F3112" t="str">
            <v>Meta 60，E12</v>
          </cell>
          <cell r="G3112">
            <v>18</v>
          </cell>
          <cell r="H3112" t="str">
            <v>粪便</v>
          </cell>
          <cell r="I3112">
            <v>579</v>
          </cell>
          <cell r="J3112">
            <v>0.32019999999999998</v>
          </cell>
          <cell r="K3112">
            <v>0.90990000000000004</v>
          </cell>
          <cell r="L3112" t="str">
            <v>不合格</v>
          </cell>
          <cell r="M3112" t="str">
            <v>周强/涂宜帅/王璇</v>
          </cell>
          <cell r="N3112" t="str">
            <v>2019 01 24 15-32-57</v>
          </cell>
          <cell r="O3112" t="str">
            <v>FA SS 1-6K</v>
          </cell>
          <cell r="Q3112">
            <v>579</v>
          </cell>
          <cell r="R3112">
            <v>0.32019999999999998</v>
          </cell>
        </row>
        <row r="3113">
          <cell r="E3113" t="str">
            <v>HFMET190123A0165-102-119</v>
          </cell>
          <cell r="F3113" t="str">
            <v>Meta 60，F01</v>
          </cell>
          <cell r="G3113">
            <v>18</v>
          </cell>
          <cell r="H3113" t="str">
            <v>粪便</v>
          </cell>
          <cell r="I3113">
            <v>583</v>
          </cell>
          <cell r="J3113">
            <v>7.2172999999999998</v>
          </cell>
          <cell r="K3113">
            <v>20.8277</v>
          </cell>
          <cell r="L3113" t="str">
            <v>合格</v>
          </cell>
          <cell r="M3113" t="str">
            <v>周强/涂宜帅/王璇</v>
          </cell>
          <cell r="N3113" t="str">
            <v>2019 01 24 15-32-57</v>
          </cell>
          <cell r="O3113" t="str">
            <v>FA SS 1-6K</v>
          </cell>
          <cell r="Q3113">
            <v>583</v>
          </cell>
          <cell r="R3113">
            <v>7.2172999999999998</v>
          </cell>
        </row>
        <row r="3114">
          <cell r="E3114" t="str">
            <v>HFMET190123A0166-95-120</v>
          </cell>
          <cell r="F3114" t="str">
            <v>Meta 60，F02</v>
          </cell>
          <cell r="G3114">
            <v>18</v>
          </cell>
          <cell r="H3114" t="str">
            <v>未经过RNase处理</v>
          </cell>
          <cell r="I3114">
            <v>618</v>
          </cell>
          <cell r="J3114">
            <v>31.671299999999999</v>
          </cell>
          <cell r="K3114">
            <v>83.585899999999995</v>
          </cell>
          <cell r="L3114" t="str">
            <v>合格</v>
          </cell>
          <cell r="M3114" t="str">
            <v>周强/涂宜帅/王璇</v>
          </cell>
          <cell r="N3114" t="str">
            <v>2019 01 24 15-32-57</v>
          </cell>
          <cell r="O3114" t="str">
            <v>FA SS 1-6K</v>
          </cell>
          <cell r="Q3114">
            <v>618</v>
          </cell>
          <cell r="R3114">
            <v>31.671299999999999</v>
          </cell>
        </row>
        <row r="3115">
          <cell r="E3115" t="str">
            <v>HFMET190123A0167-96-120</v>
          </cell>
          <cell r="F3115" t="str">
            <v>Meta 60，F03</v>
          </cell>
          <cell r="G3115">
            <v>18</v>
          </cell>
          <cell r="H3115" t="str">
            <v>未经过RNase处理</v>
          </cell>
          <cell r="I3115">
            <v>595</v>
          </cell>
          <cell r="J3115">
            <v>45.646500000000003</v>
          </cell>
          <cell r="K3115">
            <v>121.5915</v>
          </cell>
          <cell r="L3115" t="str">
            <v>合格</v>
          </cell>
          <cell r="M3115" t="str">
            <v>周强/涂宜帅/王璇</v>
          </cell>
          <cell r="N3115" t="str">
            <v>2019 01 24 10-14-15</v>
          </cell>
          <cell r="O3115" t="str">
            <v>FA SS 1-6K</v>
          </cell>
          <cell r="Q3115">
            <v>595</v>
          </cell>
          <cell r="R3115">
            <v>45.646500000000003</v>
          </cell>
        </row>
        <row r="3116">
          <cell r="E3116" t="str">
            <v>HFMET190123A0168-97-120</v>
          </cell>
          <cell r="F3116" t="str">
            <v>Meta 60，F04</v>
          </cell>
          <cell r="G3116">
            <v>18</v>
          </cell>
          <cell r="H3116" t="str">
            <v>未经过RNase处理</v>
          </cell>
          <cell r="I3116">
            <v>587</v>
          </cell>
          <cell r="J3116">
            <v>20.994700000000002</v>
          </cell>
          <cell r="K3116">
            <v>58.177799999999998</v>
          </cell>
          <cell r="L3116" t="str">
            <v>合格</v>
          </cell>
          <cell r="M3116" t="str">
            <v>周强/涂宜帅/王璇</v>
          </cell>
          <cell r="N3116" t="str">
            <v>2019 01 24 10-14-15</v>
          </cell>
          <cell r="O3116" t="str">
            <v>FA SS 1-6K</v>
          </cell>
          <cell r="Q3116">
            <v>587</v>
          </cell>
          <cell r="R3116">
            <v>20.994700000000002</v>
          </cell>
        </row>
        <row r="3117">
          <cell r="E3117" t="str">
            <v>HFMET190123A0169-98-120</v>
          </cell>
          <cell r="F3117" t="str">
            <v>Meta 60，F05</v>
          </cell>
          <cell r="G3117">
            <v>18</v>
          </cell>
          <cell r="H3117" t="str">
            <v>未经过RNase处理</v>
          </cell>
          <cell r="I3117">
            <v>595</v>
          </cell>
          <cell r="J3117">
            <v>32.2455</v>
          </cell>
          <cell r="K3117">
            <v>89.112300000000005</v>
          </cell>
          <cell r="L3117" t="str">
            <v>合格</v>
          </cell>
          <cell r="M3117" t="str">
            <v>周强/涂宜帅/王璇</v>
          </cell>
          <cell r="N3117" t="str">
            <v>2019 01 24 10-14-15</v>
          </cell>
          <cell r="O3117" t="str">
            <v>FA SS 1-6K</v>
          </cell>
          <cell r="Q3117">
            <v>595</v>
          </cell>
          <cell r="R3117">
            <v>32.2455</v>
          </cell>
        </row>
        <row r="3118">
          <cell r="E3118" t="str">
            <v>HFMET190123A0170-99-120</v>
          </cell>
          <cell r="F3118" t="str">
            <v>Meta 60，F06</v>
          </cell>
          <cell r="G3118">
            <v>18</v>
          </cell>
          <cell r="I3118">
            <v>585</v>
          </cell>
          <cell r="J3118">
            <v>53.178600000000003</v>
          </cell>
          <cell r="K3118">
            <v>149.03139999999999</v>
          </cell>
          <cell r="L3118" t="str">
            <v>合格</v>
          </cell>
          <cell r="M3118" t="str">
            <v>周强/涂宜帅/王璇</v>
          </cell>
          <cell r="N3118" t="str">
            <v>2019 01 24 10-14-15</v>
          </cell>
          <cell r="O3118" t="str">
            <v>FA SS 1-6K</v>
          </cell>
          <cell r="Q3118">
            <v>585</v>
          </cell>
          <cell r="R3118">
            <v>53.178600000000003</v>
          </cell>
        </row>
        <row r="3119">
          <cell r="E3119" t="str">
            <v>HFMET190123A0171-100-120</v>
          </cell>
          <cell r="F3119" t="str">
            <v>Meta 60，F07</v>
          </cell>
          <cell r="G3119">
            <v>18</v>
          </cell>
          <cell r="H3119" t="str">
            <v>备用，择情与YS-1合并</v>
          </cell>
          <cell r="I3119">
            <v>588</v>
          </cell>
          <cell r="J3119">
            <v>44.4679</v>
          </cell>
          <cell r="K3119">
            <v>125.0086</v>
          </cell>
          <cell r="L3119" t="str">
            <v>合格</v>
          </cell>
          <cell r="M3119" t="str">
            <v>周强/涂宜帅/王璇</v>
          </cell>
          <cell r="N3119" t="str">
            <v>2019 01 24 10-14-15</v>
          </cell>
          <cell r="O3119" t="str">
            <v>FA SS 1-6K</v>
          </cell>
          <cell r="Q3119">
            <v>588</v>
          </cell>
          <cell r="R3119">
            <v>44.4679</v>
          </cell>
        </row>
        <row r="3120">
          <cell r="E3120" t="str">
            <v>HFMET190123A0172-101-120</v>
          </cell>
          <cell r="F3120" t="str">
            <v>Meta 60，F08</v>
          </cell>
          <cell r="G3120">
            <v>18</v>
          </cell>
          <cell r="I3120">
            <v>587</v>
          </cell>
          <cell r="J3120">
            <v>6.8280000000000003</v>
          </cell>
          <cell r="K3120">
            <v>19.672000000000001</v>
          </cell>
          <cell r="L3120" t="str">
            <v>合格</v>
          </cell>
          <cell r="M3120" t="str">
            <v>周强/涂宜帅/王璇</v>
          </cell>
          <cell r="N3120" t="str">
            <v>2019 01 24 10-14-15</v>
          </cell>
          <cell r="O3120" t="str">
            <v>FA SS 1-6K</v>
          </cell>
          <cell r="Q3120">
            <v>587</v>
          </cell>
          <cell r="R3120">
            <v>6.8280000000000003</v>
          </cell>
        </row>
        <row r="3121">
          <cell r="E3121" t="str">
            <v>HFMET190123A0173-102-120</v>
          </cell>
          <cell r="F3121" t="str">
            <v>Meta 60，F09</v>
          </cell>
          <cell r="G3121">
            <v>18</v>
          </cell>
          <cell r="H3121" t="str">
            <v>备用，择情与WG-1合并</v>
          </cell>
          <cell r="I3121">
            <v>591</v>
          </cell>
          <cell r="J3121">
            <v>9.1271000000000004</v>
          </cell>
          <cell r="K3121">
            <v>25.951699999999999</v>
          </cell>
          <cell r="L3121" t="str">
            <v>合格</v>
          </cell>
          <cell r="M3121" t="str">
            <v>周强/涂宜帅/王璇</v>
          </cell>
          <cell r="N3121" t="str">
            <v>2019 01 24 10-14-15</v>
          </cell>
          <cell r="O3121" t="str">
            <v>FA SS 1-6K</v>
          </cell>
          <cell r="Q3121">
            <v>591</v>
          </cell>
          <cell r="R3121">
            <v>9.1271000000000004</v>
          </cell>
        </row>
        <row r="3122">
          <cell r="E3122" t="str">
            <v>NTC-100-120</v>
          </cell>
          <cell r="F3122" t="str">
            <v>Meta 60，F10</v>
          </cell>
          <cell r="G3122">
            <v>18</v>
          </cell>
          <cell r="I3122">
            <v>0</v>
          </cell>
          <cell r="J3122">
            <v>0.15859999999999999</v>
          </cell>
          <cell r="K3122">
            <v>0.45779999999999998</v>
          </cell>
          <cell r="L3122" t="str">
            <v>合格</v>
          </cell>
          <cell r="M3122" t="str">
            <v>周强/涂宜帅/王璇</v>
          </cell>
          <cell r="N3122" t="str">
            <v>2019 01 24 10-14-15</v>
          </cell>
          <cell r="O3122" t="str">
            <v>FA SS 1-6K</v>
          </cell>
          <cell r="Q3122">
            <v>0</v>
          </cell>
          <cell r="R3122">
            <v>0.15859999999999999</v>
          </cell>
        </row>
        <row r="3123">
          <cell r="E3123" t="str">
            <v>NTC-101-120</v>
          </cell>
          <cell r="F3123" t="str">
            <v>Meta 60，F11</v>
          </cell>
          <cell r="G3123">
            <v>18</v>
          </cell>
          <cell r="I3123">
            <v>0</v>
          </cell>
          <cell r="J3123">
            <v>0.12870000000000001</v>
          </cell>
          <cell r="K3123">
            <v>0.3599</v>
          </cell>
          <cell r="L3123" t="str">
            <v>合格</v>
          </cell>
          <cell r="M3123" t="str">
            <v>周强/涂宜帅/王璇</v>
          </cell>
          <cell r="N3123" t="str">
            <v>2019 01 24 10-14-15</v>
          </cell>
          <cell r="O3123" t="str">
            <v>FA SS 1-6K</v>
          </cell>
          <cell r="Q3123">
            <v>0</v>
          </cell>
          <cell r="R3123">
            <v>0.12870000000000001</v>
          </cell>
        </row>
        <row r="3124">
          <cell r="E3124" t="str">
            <v>NTC-102-120</v>
          </cell>
          <cell r="F3124" t="str">
            <v>Meta 60，F12</v>
          </cell>
          <cell r="G3124">
            <v>18</v>
          </cell>
          <cell r="I3124">
            <v>0</v>
          </cell>
          <cell r="J3124">
            <v>0.1638</v>
          </cell>
          <cell r="K3124">
            <v>0.46389999999999998</v>
          </cell>
          <cell r="L3124" t="str">
            <v>合格</v>
          </cell>
          <cell r="M3124" t="str">
            <v>周强/涂宜帅/王璇</v>
          </cell>
          <cell r="N3124" t="str">
            <v>2019 01 24 10-14-15</v>
          </cell>
          <cell r="O3124" t="str">
            <v>FA SS 1-6K</v>
          </cell>
          <cell r="Q3124">
            <v>0</v>
          </cell>
          <cell r="R3124">
            <v>0.1638</v>
          </cell>
        </row>
        <row r="3126">
          <cell r="E3126" t="str">
            <v>HFMET190125A0174-55-78</v>
          </cell>
          <cell r="F3126" t="str">
            <v>Meta 60，G01</v>
          </cell>
          <cell r="G3126">
            <v>18</v>
          </cell>
          <cell r="I3126">
            <v>521</v>
          </cell>
          <cell r="J3126">
            <v>6.7121000000000004</v>
          </cell>
          <cell r="K3126">
            <v>21.182500000000001</v>
          </cell>
          <cell r="L3126" t="str">
            <v>合格</v>
          </cell>
          <cell r="M3126" t="str">
            <v>张慧</v>
          </cell>
          <cell r="N3126" t="str">
            <v>2019 01 28 18-35-48</v>
          </cell>
          <cell r="O3126" t="str">
            <v>FA SS 1-6K</v>
          </cell>
          <cell r="Q3126">
            <v>521</v>
          </cell>
          <cell r="R3126">
            <v>6.7121000000000004</v>
          </cell>
        </row>
        <row r="3127">
          <cell r="E3127" t="str">
            <v>HFMET190125A0175-56-78</v>
          </cell>
          <cell r="F3127" t="str">
            <v>Meta 60，G02</v>
          </cell>
          <cell r="G3127">
            <v>18</v>
          </cell>
          <cell r="I3127">
            <v>525</v>
          </cell>
          <cell r="J3127">
            <v>1.1919999999999999</v>
          </cell>
          <cell r="K3127">
            <v>3.7374000000000001</v>
          </cell>
          <cell r="L3127" t="str">
            <v>风险上机</v>
          </cell>
          <cell r="M3127" t="str">
            <v>张慧</v>
          </cell>
          <cell r="N3127" t="str">
            <v>2019 01 28 18-35-48</v>
          </cell>
          <cell r="O3127" t="str">
            <v>FA SS 1-6K</v>
          </cell>
          <cell r="P3127" t="str">
            <v>浓度较低</v>
          </cell>
          <cell r="Q3127">
            <v>527</v>
          </cell>
          <cell r="R3127">
            <v>0.98799999999999999</v>
          </cell>
        </row>
        <row r="3128">
          <cell r="E3128" t="str">
            <v>HFMET190125A0176-57-78</v>
          </cell>
          <cell r="F3128" t="str">
            <v>Meta 60，G03</v>
          </cell>
          <cell r="G3128">
            <v>18</v>
          </cell>
          <cell r="I3128">
            <v>520</v>
          </cell>
          <cell r="J3128">
            <v>1.8662000000000001</v>
          </cell>
          <cell r="K3128">
            <v>5.907</v>
          </cell>
          <cell r="L3128" t="str">
            <v>合格</v>
          </cell>
          <cell r="M3128" t="str">
            <v>张慧</v>
          </cell>
          <cell r="N3128" t="str">
            <v>2019 01 28 18-35-48</v>
          </cell>
          <cell r="O3128" t="str">
            <v>FA SS 1-6K</v>
          </cell>
          <cell r="Q3128">
            <v>520</v>
          </cell>
          <cell r="R3128">
            <v>1.8662000000000001</v>
          </cell>
        </row>
        <row r="3129">
          <cell r="E3129" t="str">
            <v>HFMET190125A0177-58-78</v>
          </cell>
          <cell r="F3129" t="str">
            <v>Meta 60，G04</v>
          </cell>
          <cell r="G3129">
            <v>18</v>
          </cell>
          <cell r="I3129">
            <v>532</v>
          </cell>
          <cell r="J3129">
            <v>1.04E-2</v>
          </cell>
          <cell r="K3129">
            <v>3.2000000000000001E-2</v>
          </cell>
          <cell r="L3129" t="str">
            <v>不合格</v>
          </cell>
          <cell r="M3129" t="str">
            <v>张慧</v>
          </cell>
          <cell r="N3129" t="str">
            <v>2019 01 28 18-35-48</v>
          </cell>
          <cell r="O3129" t="str">
            <v>FA SS 1-6K</v>
          </cell>
          <cell r="P3129" t="str">
            <v>无目的峰</v>
          </cell>
          <cell r="Q3129">
            <v>532</v>
          </cell>
          <cell r="R3129">
            <v>1.04E-2</v>
          </cell>
        </row>
        <row r="3130">
          <cell r="E3130" t="str">
            <v>HFMET190125A0178-51-79</v>
          </cell>
          <cell r="F3130" t="str">
            <v>Meta 60，G05</v>
          </cell>
          <cell r="G3130">
            <v>18</v>
          </cell>
          <cell r="I3130">
            <v>527</v>
          </cell>
          <cell r="J3130">
            <v>7.4230999999999998</v>
          </cell>
          <cell r="K3130">
            <v>23.167100000000001</v>
          </cell>
          <cell r="L3130" t="str">
            <v>合格</v>
          </cell>
          <cell r="M3130" t="str">
            <v>张慧</v>
          </cell>
          <cell r="N3130" t="str">
            <v>2019 01 28 18-35-48</v>
          </cell>
          <cell r="O3130" t="str">
            <v>FA SS 1-6K</v>
          </cell>
          <cell r="Q3130">
            <v>527</v>
          </cell>
          <cell r="R3130">
            <v>7.4230999999999998</v>
          </cell>
        </row>
        <row r="3131">
          <cell r="E3131" t="str">
            <v>HFMET190125A0179-52-79</v>
          </cell>
          <cell r="F3131" t="str">
            <v>Meta 60，G06</v>
          </cell>
          <cell r="G3131">
            <v>18</v>
          </cell>
          <cell r="I3131">
            <v>542</v>
          </cell>
          <cell r="J3131">
            <v>9.1630000000000003</v>
          </cell>
          <cell r="K3131">
            <v>27.801400000000001</v>
          </cell>
          <cell r="L3131" t="str">
            <v>合格</v>
          </cell>
          <cell r="M3131" t="str">
            <v>张慧</v>
          </cell>
          <cell r="N3131" t="str">
            <v>2019 01 28 18-35-48</v>
          </cell>
          <cell r="O3131" t="str">
            <v>FA SS 1-6K</v>
          </cell>
          <cell r="Q3131">
            <v>542</v>
          </cell>
          <cell r="R3131">
            <v>9.1630000000000003</v>
          </cell>
        </row>
        <row r="3132">
          <cell r="E3132" t="str">
            <v>HFMET190125A0180-53-79</v>
          </cell>
          <cell r="F3132" t="str">
            <v>Meta 60，G07</v>
          </cell>
          <cell r="G3132">
            <v>18</v>
          </cell>
          <cell r="I3132">
            <v>547</v>
          </cell>
          <cell r="J3132">
            <v>11.343999999999999</v>
          </cell>
          <cell r="K3132">
            <v>34.104700000000001</v>
          </cell>
          <cell r="L3132" t="str">
            <v>合格</v>
          </cell>
          <cell r="M3132" t="str">
            <v>张慧</v>
          </cell>
          <cell r="N3132" t="str">
            <v>2019 01 28 18-35-48</v>
          </cell>
          <cell r="O3132" t="str">
            <v>FA SS 1-6K</v>
          </cell>
          <cell r="Q3132">
            <v>547</v>
          </cell>
          <cell r="R3132">
            <v>11.343999999999999</v>
          </cell>
        </row>
        <row r="3133">
          <cell r="E3133" t="str">
            <v>HFMET190125A0181-54-79</v>
          </cell>
          <cell r="F3133" t="str">
            <v>Meta 60，G08</v>
          </cell>
          <cell r="G3133">
            <v>18</v>
          </cell>
          <cell r="I3133">
            <v>549</v>
          </cell>
          <cell r="J3133">
            <v>19.712</v>
          </cell>
          <cell r="K3133">
            <v>59.088099999999997</v>
          </cell>
          <cell r="L3133" t="str">
            <v>合格</v>
          </cell>
          <cell r="M3133" t="str">
            <v>张慧</v>
          </cell>
          <cell r="N3133" t="str">
            <v>2019 01 28 18-35-48</v>
          </cell>
          <cell r="O3133" t="str">
            <v>FA SS 1-6K</v>
          </cell>
          <cell r="Q3133">
            <v>549</v>
          </cell>
          <cell r="R3133">
            <v>19.712</v>
          </cell>
        </row>
        <row r="3134">
          <cell r="E3134" t="str">
            <v>HFMET190125A0182-55-79</v>
          </cell>
          <cell r="F3134" t="str">
            <v>Meta 60，G09</v>
          </cell>
          <cell r="G3134">
            <v>18</v>
          </cell>
          <cell r="I3134">
            <v>533</v>
          </cell>
          <cell r="J3134">
            <v>26.0946</v>
          </cell>
          <cell r="K3134">
            <v>80.489999999999995</v>
          </cell>
          <cell r="L3134" t="str">
            <v>合格</v>
          </cell>
          <cell r="M3134" t="str">
            <v>张慧</v>
          </cell>
          <cell r="N3134" t="str">
            <v>2019 01 28 18-35-48</v>
          </cell>
          <cell r="O3134" t="str">
            <v>FA SS 1-6K</v>
          </cell>
          <cell r="Q3134">
            <v>533</v>
          </cell>
          <cell r="R3134">
            <v>26.0946</v>
          </cell>
        </row>
        <row r="3135">
          <cell r="E3135" t="str">
            <v>HFMET190125A0183-56-79</v>
          </cell>
          <cell r="F3135" t="str">
            <v>Meta 60，G10</v>
          </cell>
          <cell r="G3135">
            <v>18</v>
          </cell>
          <cell r="I3135">
            <v>538</v>
          </cell>
          <cell r="J3135">
            <v>2.9582000000000002</v>
          </cell>
          <cell r="K3135">
            <v>9.0495999999999999</v>
          </cell>
          <cell r="L3135" t="str">
            <v>风险上机</v>
          </cell>
          <cell r="M3135" t="str">
            <v>张慧</v>
          </cell>
          <cell r="N3135" t="str">
            <v>2019 01 28 18-35-48</v>
          </cell>
          <cell r="O3135" t="str">
            <v>FA SS 1-6K</v>
          </cell>
          <cell r="P3135" t="str">
            <v>浓度较低</v>
          </cell>
          <cell r="Q3135">
            <v>538</v>
          </cell>
          <cell r="R3135">
            <v>2.9582000000000002</v>
          </cell>
        </row>
        <row r="3136">
          <cell r="E3136" t="str">
            <v>HFMET190125A0184-57-79</v>
          </cell>
          <cell r="F3136" t="str">
            <v>Meta 60，G11</v>
          </cell>
          <cell r="G3136">
            <v>18</v>
          </cell>
          <cell r="I3136">
            <v>527</v>
          </cell>
          <cell r="J3136">
            <v>12.578200000000001</v>
          </cell>
          <cell r="K3136">
            <v>39.260199999999998</v>
          </cell>
          <cell r="L3136" t="str">
            <v>合格</v>
          </cell>
          <cell r="M3136" t="str">
            <v>张慧</v>
          </cell>
          <cell r="N3136" t="str">
            <v>2019 01 29  16-05-59</v>
          </cell>
          <cell r="O3136" t="str">
            <v>FA SS 1-6K</v>
          </cell>
          <cell r="Q3136">
            <v>527</v>
          </cell>
          <cell r="R3136">
            <v>12.578200000000001</v>
          </cell>
        </row>
        <row r="3137">
          <cell r="E3137" t="str">
            <v>HFMET190125A0185-58-79</v>
          </cell>
          <cell r="F3137" t="str">
            <v>Meta 60，G12</v>
          </cell>
          <cell r="G3137">
            <v>18</v>
          </cell>
          <cell r="I3137">
            <v>535</v>
          </cell>
          <cell r="J3137">
            <v>23.643799999999999</v>
          </cell>
          <cell r="K3137">
            <v>72.670400000000001</v>
          </cell>
          <cell r="L3137" t="str">
            <v>合格</v>
          </cell>
          <cell r="M3137" t="str">
            <v>张慧</v>
          </cell>
          <cell r="N3137" t="str">
            <v>2019 01 28 19-46-54</v>
          </cell>
          <cell r="O3137" t="str">
            <v>FA SS 1-6K</v>
          </cell>
          <cell r="Q3137">
            <v>535</v>
          </cell>
          <cell r="R3137">
            <v>23.643799999999999</v>
          </cell>
        </row>
        <row r="3138">
          <cell r="E3138" t="str">
            <v>HFMET190125A0186-51-80</v>
          </cell>
          <cell r="F3138" t="str">
            <v>Meta 60，H01</v>
          </cell>
          <cell r="G3138">
            <v>18</v>
          </cell>
          <cell r="I3138">
            <v>523</v>
          </cell>
          <cell r="J3138">
            <v>2.2551999999999999</v>
          </cell>
          <cell r="K3138">
            <v>7.0909000000000004</v>
          </cell>
          <cell r="L3138" t="str">
            <v>合格</v>
          </cell>
          <cell r="M3138" t="str">
            <v>张慧</v>
          </cell>
          <cell r="N3138" t="str">
            <v>2019 01 28 19-46-54</v>
          </cell>
          <cell r="O3138" t="str">
            <v>FA SS 1-6K</v>
          </cell>
          <cell r="Q3138">
            <v>526</v>
          </cell>
          <cell r="R3138">
            <v>3.1896</v>
          </cell>
        </row>
        <row r="3139">
          <cell r="E3139" t="str">
            <v>HFMET190125A0187-52-80</v>
          </cell>
          <cell r="F3139" t="str">
            <v>Meta 60，H02</v>
          </cell>
          <cell r="G3139">
            <v>18</v>
          </cell>
          <cell r="I3139">
            <v>507</v>
          </cell>
          <cell r="J3139">
            <v>0.32469999999999999</v>
          </cell>
          <cell r="K3139">
            <v>1.054</v>
          </cell>
          <cell r="L3139" t="str">
            <v>不合格</v>
          </cell>
          <cell r="M3139" t="str">
            <v>张慧</v>
          </cell>
          <cell r="N3139" t="str">
            <v>2019 01 28 19-46-54</v>
          </cell>
          <cell r="O3139" t="str">
            <v>FA SS 1-6K</v>
          </cell>
          <cell r="P3139" t="str">
            <v>无目的峰</v>
          </cell>
          <cell r="Q3139">
            <v>507</v>
          </cell>
          <cell r="R3139">
            <v>0.32469999999999999</v>
          </cell>
        </row>
        <row r="3140">
          <cell r="E3140" t="str">
            <v>HFMET190125A0188-53-80</v>
          </cell>
          <cell r="F3140" t="str">
            <v>Meta 60，H03</v>
          </cell>
          <cell r="G3140">
            <v>18</v>
          </cell>
          <cell r="I3140">
            <v>529</v>
          </cell>
          <cell r="J3140">
            <v>0.48799999999999999</v>
          </cell>
          <cell r="K3140">
            <v>1.5186999999999999</v>
          </cell>
          <cell r="L3140" t="str">
            <v>风险上机</v>
          </cell>
          <cell r="M3140" t="str">
            <v>张慧</v>
          </cell>
          <cell r="N3140" t="str">
            <v>2019 01 28 19-46-54</v>
          </cell>
          <cell r="O3140" t="str">
            <v>FA SS 1-6K</v>
          </cell>
          <cell r="P3140" t="str">
            <v>目的峰较明显，浓度过低</v>
          </cell>
          <cell r="Q3140">
            <v>529</v>
          </cell>
          <cell r="R3140">
            <v>0.48799999999999999</v>
          </cell>
        </row>
        <row r="3141">
          <cell r="E3141" t="str">
            <v>HFMET190125A0189-54-80</v>
          </cell>
          <cell r="F3141" t="str">
            <v>Meta 60，H04</v>
          </cell>
          <cell r="G3141">
            <v>18</v>
          </cell>
          <cell r="I3141">
            <v>538</v>
          </cell>
          <cell r="J3141">
            <v>0.1216</v>
          </cell>
          <cell r="K3141">
            <v>0.37180000000000002</v>
          </cell>
          <cell r="L3141" t="str">
            <v>不合格</v>
          </cell>
          <cell r="M3141" t="str">
            <v>张慧</v>
          </cell>
          <cell r="N3141" t="str">
            <v>2019 01 28 19-46-54</v>
          </cell>
          <cell r="O3141" t="str">
            <v>FA SS 1-6K</v>
          </cell>
          <cell r="P3141" t="str">
            <v>无目的峰</v>
          </cell>
          <cell r="Q3141">
            <v>538</v>
          </cell>
          <cell r="R3141">
            <v>0.1216</v>
          </cell>
        </row>
        <row r="3142">
          <cell r="E3142" t="str">
            <v>HFMET190125A0190-55-80</v>
          </cell>
          <cell r="F3142" t="str">
            <v>Meta 60，H05</v>
          </cell>
          <cell r="G3142">
            <v>18</v>
          </cell>
          <cell r="I3142">
            <v>500</v>
          </cell>
          <cell r="J3142">
            <v>0.3085</v>
          </cell>
          <cell r="K3142">
            <v>1.0152000000000001</v>
          </cell>
          <cell r="L3142" t="str">
            <v>不合格</v>
          </cell>
          <cell r="M3142" t="str">
            <v>张慧</v>
          </cell>
          <cell r="N3142" t="str">
            <v>2019 01 28 19-46-54</v>
          </cell>
          <cell r="O3142" t="str">
            <v>FA SS 1-6K</v>
          </cell>
          <cell r="P3142" t="str">
            <v>无目的峰</v>
          </cell>
          <cell r="Q3142">
            <v>500</v>
          </cell>
          <cell r="R3142">
            <v>0.3085</v>
          </cell>
        </row>
        <row r="3143">
          <cell r="E3143" t="str">
            <v>HFMET190125A0191-56-80</v>
          </cell>
          <cell r="F3143" t="str">
            <v>Meta 60，H06</v>
          </cell>
          <cell r="G3143">
            <v>18</v>
          </cell>
          <cell r="I3143">
            <v>517</v>
          </cell>
          <cell r="J3143">
            <v>0.8468</v>
          </cell>
          <cell r="K3143">
            <v>2.6960999999999999</v>
          </cell>
          <cell r="L3143" t="str">
            <v>不合格</v>
          </cell>
          <cell r="M3143" t="str">
            <v>张慧</v>
          </cell>
          <cell r="N3143" t="str">
            <v>2019 01 28 19-46-54</v>
          </cell>
          <cell r="O3143" t="str">
            <v>FA SS 1-6K</v>
          </cell>
          <cell r="P3143" t="str">
            <v>无目的峰</v>
          </cell>
          <cell r="Q3143">
            <v>517</v>
          </cell>
          <cell r="R3143">
            <v>0.8468</v>
          </cell>
        </row>
        <row r="3144">
          <cell r="E3144" t="str">
            <v>HFMET190125A0192-57-80</v>
          </cell>
          <cell r="F3144" t="str">
            <v>Meta 60，H07</v>
          </cell>
          <cell r="G3144">
            <v>18</v>
          </cell>
          <cell r="I3144">
            <v>531</v>
          </cell>
          <cell r="J3144">
            <v>6.4500000000000002E-2</v>
          </cell>
          <cell r="K3144">
            <v>0.19989999999999999</v>
          </cell>
          <cell r="L3144" t="str">
            <v>不合格</v>
          </cell>
          <cell r="M3144" t="str">
            <v>张慧</v>
          </cell>
          <cell r="N3144" t="str">
            <v>2019 01 28 19-46-54</v>
          </cell>
          <cell r="O3144" t="str">
            <v>FA SS 1-6K</v>
          </cell>
          <cell r="P3144" t="str">
            <v>无目的峰</v>
          </cell>
          <cell r="Q3144">
            <v>531</v>
          </cell>
          <cell r="R3144">
            <v>6.4500000000000002E-2</v>
          </cell>
        </row>
        <row r="3145">
          <cell r="E3145" t="str">
            <v>HFMET190125A0193-58-80</v>
          </cell>
          <cell r="F3145" t="str">
            <v>Meta 60，H08</v>
          </cell>
          <cell r="G3145">
            <v>18</v>
          </cell>
          <cell r="I3145">
            <v>507</v>
          </cell>
          <cell r="J3145">
            <v>0.27439999999999998</v>
          </cell>
          <cell r="K3145">
            <v>0.89119999999999999</v>
          </cell>
          <cell r="L3145" t="str">
            <v>不合格</v>
          </cell>
          <cell r="M3145" t="str">
            <v>张慧</v>
          </cell>
          <cell r="N3145" t="str">
            <v>2019 01 28 19-46-54</v>
          </cell>
          <cell r="O3145" t="str">
            <v>FA SS 1-6K</v>
          </cell>
          <cell r="P3145" t="str">
            <v>无目的峰</v>
          </cell>
          <cell r="Q3145">
            <v>507</v>
          </cell>
          <cell r="R3145">
            <v>0.27439999999999998</v>
          </cell>
        </row>
        <row r="3146">
          <cell r="E3146" t="str">
            <v>HFMET190125A0194-51-81</v>
          </cell>
          <cell r="F3146" t="str">
            <v>Meta 60，H09</v>
          </cell>
          <cell r="G3146">
            <v>18</v>
          </cell>
          <cell r="I3146">
            <v>528</v>
          </cell>
          <cell r="J3146">
            <v>5.9558</v>
          </cell>
          <cell r="K3146">
            <v>18.561699999999998</v>
          </cell>
          <cell r="L3146" t="str">
            <v>合格</v>
          </cell>
          <cell r="M3146" t="str">
            <v>张慧</v>
          </cell>
          <cell r="N3146" t="str">
            <v>2019 01 28 19-46-54</v>
          </cell>
          <cell r="O3146" t="str">
            <v>FA SS 1-6K</v>
          </cell>
          <cell r="Q3146">
            <v>528</v>
          </cell>
          <cell r="R3146">
            <v>5.9558</v>
          </cell>
        </row>
        <row r="3147">
          <cell r="E3147" t="str">
            <v>HFMET190125A0195-52-81</v>
          </cell>
          <cell r="F3147" t="str">
            <v>Meta 60，H10</v>
          </cell>
          <cell r="G3147">
            <v>18</v>
          </cell>
          <cell r="I3147">
            <v>463</v>
          </cell>
          <cell r="J3147">
            <v>1.6199999999999999E-2</v>
          </cell>
          <cell r="K3147">
            <v>5.7700000000000001E-2</v>
          </cell>
          <cell r="L3147" t="str">
            <v>不合格</v>
          </cell>
          <cell r="M3147" t="str">
            <v>张慧</v>
          </cell>
          <cell r="N3147" t="str">
            <v>2019 01 29  16-05-59</v>
          </cell>
          <cell r="O3147" t="str">
            <v>FA SS 1-6K</v>
          </cell>
          <cell r="Q3147">
            <v>463</v>
          </cell>
          <cell r="R3147">
            <v>1.6199999999999999E-2</v>
          </cell>
        </row>
        <row r="3148">
          <cell r="E3148" t="str">
            <v>HFMET190125A0196-53-81</v>
          </cell>
          <cell r="F3148" t="str">
            <v>Meta 60，H11</v>
          </cell>
          <cell r="G3148">
            <v>18</v>
          </cell>
          <cell r="I3148">
            <v>541</v>
          </cell>
          <cell r="J3148">
            <v>22.173300000000001</v>
          </cell>
          <cell r="K3148">
            <v>67.453400000000002</v>
          </cell>
          <cell r="L3148" t="str">
            <v>合格</v>
          </cell>
          <cell r="M3148" t="str">
            <v>张慧</v>
          </cell>
          <cell r="N3148" t="str">
            <v>2019 01 28 20-58-00</v>
          </cell>
          <cell r="O3148" t="str">
            <v>FA SS 1-6K</v>
          </cell>
          <cell r="Q3148">
            <v>541</v>
          </cell>
          <cell r="R3148">
            <v>22.173300000000001</v>
          </cell>
        </row>
        <row r="3149">
          <cell r="E3149" t="str">
            <v>HFMET190125A0197-54-81</v>
          </cell>
          <cell r="F3149" t="str">
            <v>Meta 60，H12</v>
          </cell>
          <cell r="G3149">
            <v>18</v>
          </cell>
          <cell r="I3149">
            <v>532</v>
          </cell>
          <cell r="J3149">
            <v>0.1368</v>
          </cell>
          <cell r="K3149">
            <v>0.42309999999999998</v>
          </cell>
          <cell r="L3149" t="str">
            <v>不合格</v>
          </cell>
          <cell r="M3149" t="str">
            <v>张慧</v>
          </cell>
          <cell r="N3149" t="str">
            <v>2019 01 28 20-58-00</v>
          </cell>
          <cell r="O3149" t="str">
            <v>FA SS 1-6K</v>
          </cell>
          <cell r="P3149" t="str">
            <v>无目的峰</v>
          </cell>
          <cell r="Q3149">
            <v>542</v>
          </cell>
          <cell r="R3149">
            <v>0.26319999999999999</v>
          </cell>
        </row>
        <row r="3150">
          <cell r="E3150" t="str">
            <v>HFMET190125A0198-55-81</v>
          </cell>
          <cell r="F3150" t="str">
            <v>Meta 61，A01</v>
          </cell>
          <cell r="G3150">
            <v>18</v>
          </cell>
          <cell r="I3150">
            <v>519</v>
          </cell>
          <cell r="J3150">
            <v>1.5386</v>
          </cell>
          <cell r="K3150">
            <v>4.8794000000000004</v>
          </cell>
          <cell r="L3150" t="str">
            <v>合格</v>
          </cell>
          <cell r="M3150" t="str">
            <v>张慧</v>
          </cell>
          <cell r="N3150" t="str">
            <v>2019 01 28 20-58-00</v>
          </cell>
          <cell r="O3150" t="str">
            <v>FA SS 1-6K</v>
          </cell>
          <cell r="Q3150">
            <v>519</v>
          </cell>
          <cell r="R3150">
            <v>1.5386</v>
          </cell>
        </row>
        <row r="3151">
          <cell r="E3151" t="str">
            <v>HFMET190125A0199-56-81</v>
          </cell>
          <cell r="F3151" t="str">
            <v>Meta 61，A02</v>
          </cell>
          <cell r="G3151">
            <v>18</v>
          </cell>
          <cell r="I3151">
            <v>538</v>
          </cell>
          <cell r="J3151">
            <v>5.6764000000000001</v>
          </cell>
          <cell r="K3151">
            <v>17.3474</v>
          </cell>
          <cell r="L3151" t="str">
            <v>合格</v>
          </cell>
          <cell r="M3151" t="str">
            <v>张慧</v>
          </cell>
          <cell r="N3151" t="str">
            <v>2019 01 28 20-58-00</v>
          </cell>
          <cell r="O3151" t="str">
            <v>FA SS 1-6K</v>
          </cell>
          <cell r="Q3151">
            <v>538</v>
          </cell>
          <cell r="R3151">
            <v>5.6764000000000001</v>
          </cell>
        </row>
        <row r="3152">
          <cell r="E3152" t="str">
            <v>HFMET190125A0200-57-81</v>
          </cell>
          <cell r="F3152" t="str">
            <v>Meta 61，A03</v>
          </cell>
          <cell r="G3152">
            <v>18</v>
          </cell>
          <cell r="I3152">
            <v>533</v>
          </cell>
          <cell r="J3152">
            <v>4.7600000000000003E-2</v>
          </cell>
          <cell r="K3152">
            <v>0.1469</v>
          </cell>
          <cell r="L3152" t="str">
            <v>不合格</v>
          </cell>
          <cell r="M3152" t="str">
            <v>张慧</v>
          </cell>
          <cell r="N3152" t="str">
            <v>2019 01 28 20-58-00</v>
          </cell>
          <cell r="O3152" t="str">
            <v>FA SS 1-6K</v>
          </cell>
          <cell r="P3152" t="str">
            <v>无目的峰</v>
          </cell>
          <cell r="Q3152">
            <v>533</v>
          </cell>
          <cell r="R3152">
            <v>4.7600000000000003E-2</v>
          </cell>
        </row>
        <row r="3153">
          <cell r="E3153" t="str">
            <v>HFMET190125A0201-58-81</v>
          </cell>
          <cell r="F3153" t="str">
            <v>Meta 61，A04</v>
          </cell>
          <cell r="G3153">
            <v>18</v>
          </cell>
          <cell r="I3153">
            <v>523</v>
          </cell>
          <cell r="J3153">
            <v>0.67500000000000004</v>
          </cell>
          <cell r="K3153">
            <v>2.125</v>
          </cell>
          <cell r="L3153" t="str">
            <v>风险上机</v>
          </cell>
          <cell r="M3153" t="str">
            <v>张慧</v>
          </cell>
          <cell r="N3153" t="str">
            <v>2019 01 28 20-58-00</v>
          </cell>
          <cell r="O3153" t="str">
            <v>FA SS 1-6K</v>
          </cell>
          <cell r="P3153" t="str">
            <v>目的峰较明显，浓度过低</v>
          </cell>
          <cell r="Q3153">
            <v>523</v>
          </cell>
          <cell r="R3153">
            <v>0.67500000000000004</v>
          </cell>
        </row>
        <row r="3154">
          <cell r="E3154" t="str">
            <v>HFMET190125A0202-51-82</v>
          </cell>
          <cell r="F3154" t="str">
            <v>Meta 61，A05</v>
          </cell>
          <cell r="G3154">
            <v>18</v>
          </cell>
          <cell r="I3154">
            <v>518</v>
          </cell>
          <cell r="J3154">
            <v>4.3817000000000004</v>
          </cell>
          <cell r="K3154">
            <v>13.932499999999999</v>
          </cell>
          <cell r="L3154" t="str">
            <v>合格</v>
          </cell>
          <cell r="M3154" t="str">
            <v>张慧</v>
          </cell>
          <cell r="N3154" t="str">
            <v>2019 01 28 20-58-00</v>
          </cell>
          <cell r="O3154" t="str">
            <v>FA SS 1-6K</v>
          </cell>
          <cell r="Q3154">
            <v>518</v>
          </cell>
          <cell r="R3154">
            <v>4.3817000000000004</v>
          </cell>
        </row>
        <row r="3155">
          <cell r="E3155" t="str">
            <v>HFMET190125A0203-52-82</v>
          </cell>
          <cell r="F3155" t="str">
            <v>Meta 61，A06</v>
          </cell>
          <cell r="G3155">
            <v>18</v>
          </cell>
          <cell r="I3155">
            <v>513</v>
          </cell>
          <cell r="J3155">
            <v>3.2199999999999999E-2</v>
          </cell>
          <cell r="K3155">
            <v>0.1033</v>
          </cell>
          <cell r="L3155" t="str">
            <v>不合格</v>
          </cell>
          <cell r="M3155" t="str">
            <v>张慧</v>
          </cell>
          <cell r="N3155" t="str">
            <v>2019 01 28 20-58-00</v>
          </cell>
          <cell r="O3155" t="str">
            <v>FA SS 1-6K</v>
          </cell>
          <cell r="P3155" t="str">
            <v>无目的峰</v>
          </cell>
          <cell r="Q3155">
            <v>513</v>
          </cell>
          <cell r="R3155">
            <v>3.2199999999999999E-2</v>
          </cell>
        </row>
        <row r="3156">
          <cell r="E3156" t="str">
            <v>HFMET190125A0204-53-82</v>
          </cell>
          <cell r="F3156" t="str">
            <v>Meta 61，A07</v>
          </cell>
          <cell r="G3156">
            <v>18</v>
          </cell>
          <cell r="I3156">
            <v>517</v>
          </cell>
          <cell r="J3156">
            <v>0.66010000000000002</v>
          </cell>
          <cell r="K3156">
            <v>2.0998000000000001</v>
          </cell>
          <cell r="L3156" t="str">
            <v>风险上机</v>
          </cell>
          <cell r="M3156" t="str">
            <v>张慧</v>
          </cell>
          <cell r="N3156" t="str">
            <v>2019 01 28 20-58-00</v>
          </cell>
          <cell r="O3156" t="str">
            <v>FA SS 1-6K</v>
          </cell>
          <cell r="P3156" t="str">
            <v>目的峰较明显，浓度过低</v>
          </cell>
          <cell r="Q3156">
            <v>517</v>
          </cell>
          <cell r="R3156">
            <v>0.66010000000000002</v>
          </cell>
        </row>
        <row r="3157">
          <cell r="E3157" t="str">
            <v>HFMET190125A0205-54-82</v>
          </cell>
          <cell r="F3157" t="str">
            <v>Meta 61，A08</v>
          </cell>
          <cell r="G3157">
            <v>18</v>
          </cell>
          <cell r="I3157">
            <v>494</v>
          </cell>
          <cell r="J3157">
            <v>4.2000000000000003E-2</v>
          </cell>
          <cell r="K3157">
            <v>0.14000000000000001</v>
          </cell>
          <cell r="L3157" t="str">
            <v>不合格</v>
          </cell>
          <cell r="M3157" t="str">
            <v>张慧</v>
          </cell>
          <cell r="N3157" t="str">
            <v>2019 01 28 20-58-00</v>
          </cell>
          <cell r="O3157" t="str">
            <v>FA SS 1-6K</v>
          </cell>
          <cell r="P3157" t="str">
            <v>无目的峰</v>
          </cell>
          <cell r="Q3157">
            <v>494</v>
          </cell>
          <cell r="R3157">
            <v>4.2000000000000003E-2</v>
          </cell>
        </row>
        <row r="3158">
          <cell r="E3158" t="str">
            <v>HFMET190125A0206-55-82</v>
          </cell>
          <cell r="F3158" t="str">
            <v>Meta 61，A09</v>
          </cell>
          <cell r="G3158">
            <v>18</v>
          </cell>
          <cell r="I3158">
            <v>524</v>
          </cell>
          <cell r="J3158">
            <v>9.5236999999999998</v>
          </cell>
          <cell r="K3158">
            <v>29.908100000000001</v>
          </cell>
          <cell r="L3158" t="str">
            <v>合格</v>
          </cell>
          <cell r="M3158" t="str">
            <v>张慧</v>
          </cell>
          <cell r="N3158" t="str">
            <v>2019 01 29  16-05-59</v>
          </cell>
          <cell r="O3158" t="str">
            <v>FA SS 1-6K</v>
          </cell>
          <cell r="Q3158">
            <v>524</v>
          </cell>
          <cell r="R3158">
            <v>9.5236999999999998</v>
          </cell>
        </row>
        <row r="3159">
          <cell r="E3159" t="str">
            <v>HFMET190125A0207-56-82</v>
          </cell>
          <cell r="F3159" t="str">
            <v>Meta 61，A10</v>
          </cell>
          <cell r="G3159">
            <v>18</v>
          </cell>
          <cell r="I3159">
            <v>531</v>
          </cell>
          <cell r="J3159">
            <v>8.2195999999999998</v>
          </cell>
          <cell r="K3159">
            <v>25.475300000000001</v>
          </cell>
          <cell r="L3159" t="str">
            <v>合格</v>
          </cell>
          <cell r="M3159" t="str">
            <v>张慧</v>
          </cell>
          <cell r="N3159" t="str">
            <v>2019 01 28 22-09-09</v>
          </cell>
          <cell r="O3159" t="str">
            <v>FA SS 1-6K</v>
          </cell>
          <cell r="Q3159">
            <v>531</v>
          </cell>
          <cell r="R3159">
            <v>8.2195999999999998</v>
          </cell>
        </row>
        <row r="3160">
          <cell r="E3160" t="str">
            <v>HFMET190125A0208-57-82</v>
          </cell>
          <cell r="F3160" t="str">
            <v>Meta 61，A11</v>
          </cell>
          <cell r="G3160">
            <v>18</v>
          </cell>
          <cell r="I3160">
            <v>534</v>
          </cell>
          <cell r="J3160">
            <v>1.4060999999999999</v>
          </cell>
          <cell r="K3160">
            <v>4.3339999999999996</v>
          </cell>
          <cell r="L3160" t="str">
            <v>合格</v>
          </cell>
          <cell r="M3160" t="str">
            <v>张慧</v>
          </cell>
          <cell r="N3160" t="str">
            <v>2019 01 28 22-09-09</v>
          </cell>
          <cell r="O3160" t="str">
            <v>FA SS 1-6K</v>
          </cell>
          <cell r="Q3160">
            <v>538</v>
          </cell>
          <cell r="R3160">
            <v>2.1419999999999999</v>
          </cell>
        </row>
        <row r="3161">
          <cell r="E3161" t="str">
            <v>HFMET190125A0209-58-82</v>
          </cell>
          <cell r="F3161" t="str">
            <v>Meta 61，A12</v>
          </cell>
          <cell r="G3161">
            <v>18</v>
          </cell>
          <cell r="I3161">
            <v>528</v>
          </cell>
          <cell r="J3161">
            <v>2.1808000000000001</v>
          </cell>
          <cell r="K3161">
            <v>6.7910000000000004</v>
          </cell>
          <cell r="L3161" t="str">
            <v>合格</v>
          </cell>
          <cell r="M3161" t="str">
            <v>张慧</v>
          </cell>
          <cell r="N3161" t="str">
            <v>2019 01 28 22-09-09</v>
          </cell>
          <cell r="O3161" t="str">
            <v>FA SS 1-6K</v>
          </cell>
          <cell r="Q3161">
            <v>528</v>
          </cell>
          <cell r="R3161">
            <v>2.1808000000000001</v>
          </cell>
        </row>
        <row r="3162">
          <cell r="E3162" t="str">
            <v>HFMET190125A0210-51-83</v>
          </cell>
          <cell r="F3162" t="str">
            <v>Meta 61，B01</v>
          </cell>
          <cell r="G3162">
            <v>18</v>
          </cell>
          <cell r="I3162">
            <v>551</v>
          </cell>
          <cell r="J3162">
            <v>39.263399999999997</v>
          </cell>
          <cell r="K3162">
            <v>117.2813</v>
          </cell>
          <cell r="L3162" t="str">
            <v>合格</v>
          </cell>
          <cell r="M3162" t="str">
            <v>张慧</v>
          </cell>
          <cell r="N3162" t="str">
            <v>2019 01 28 22-09-09</v>
          </cell>
          <cell r="O3162" t="str">
            <v>FA SS 1-6K</v>
          </cell>
          <cell r="Q3162">
            <v>551</v>
          </cell>
          <cell r="R3162">
            <v>39.263399999999997</v>
          </cell>
        </row>
        <row r="3163">
          <cell r="E3163" t="str">
            <v>HFMET190125A0211-52-83</v>
          </cell>
          <cell r="F3163" t="str">
            <v>Meta 61，B02</v>
          </cell>
          <cell r="G3163">
            <v>18</v>
          </cell>
          <cell r="I3163">
            <v>549</v>
          </cell>
          <cell r="J3163">
            <v>61.0779</v>
          </cell>
          <cell r="K3163">
            <v>183.059</v>
          </cell>
          <cell r="L3163" t="str">
            <v>合格</v>
          </cell>
          <cell r="M3163" t="str">
            <v>张慧</v>
          </cell>
          <cell r="N3163" t="str">
            <v>2019 01 28 22-09-09</v>
          </cell>
          <cell r="O3163" t="str">
            <v>FA SS 1-6K</v>
          </cell>
          <cell r="Q3163">
            <v>549</v>
          </cell>
          <cell r="R3163">
            <v>61.0779</v>
          </cell>
        </row>
        <row r="3164">
          <cell r="E3164" t="str">
            <v>HFMET190125A0212-53-83</v>
          </cell>
          <cell r="F3164" t="str">
            <v>Meta 61，B03</v>
          </cell>
          <cell r="G3164">
            <v>18</v>
          </cell>
          <cell r="I3164">
            <v>543</v>
          </cell>
          <cell r="J3164">
            <v>21.428699999999999</v>
          </cell>
          <cell r="K3164">
            <v>64.965400000000002</v>
          </cell>
          <cell r="L3164" t="str">
            <v>合格</v>
          </cell>
          <cell r="M3164" t="str">
            <v>张慧</v>
          </cell>
          <cell r="N3164" t="str">
            <v>2019 01 28 22-09-09</v>
          </cell>
          <cell r="O3164" t="str">
            <v>FA SS 1-6K</v>
          </cell>
          <cell r="Q3164">
            <v>543</v>
          </cell>
          <cell r="R3164">
            <v>21.428699999999999</v>
          </cell>
        </row>
        <row r="3165">
          <cell r="E3165" t="str">
            <v>HFMET190125A0213-54-83</v>
          </cell>
          <cell r="F3165" t="str">
            <v>Meta 61，B04</v>
          </cell>
          <cell r="G3165">
            <v>18</v>
          </cell>
          <cell r="I3165" t="str">
            <v>NaN</v>
          </cell>
          <cell r="J3165">
            <v>0</v>
          </cell>
          <cell r="K3165" t="str">
            <v>NaN</v>
          </cell>
          <cell r="L3165" t="str">
            <v>合格</v>
          </cell>
          <cell r="M3165" t="str">
            <v>张慧</v>
          </cell>
          <cell r="N3165" t="str">
            <v>2019 01 29  16-05-59</v>
          </cell>
          <cell r="O3165" t="str">
            <v>FA SS 1-6K</v>
          </cell>
          <cell r="Q3165" t="str">
            <v>NaN</v>
          </cell>
          <cell r="R3165">
            <v>0</v>
          </cell>
        </row>
        <row r="3166">
          <cell r="E3166" t="str">
            <v>HFMET190125A0214-55-83</v>
          </cell>
          <cell r="F3166" t="str">
            <v>Meta 61，B05</v>
          </cell>
          <cell r="G3166">
            <v>18</v>
          </cell>
          <cell r="I3166" t="str">
            <v>NaN</v>
          </cell>
          <cell r="J3166">
            <v>0</v>
          </cell>
          <cell r="K3166" t="str">
            <v>NaN</v>
          </cell>
          <cell r="L3166" t="str">
            <v>合格</v>
          </cell>
          <cell r="M3166" t="str">
            <v>张慧</v>
          </cell>
          <cell r="N3166" t="str">
            <v>2019 01 29  16-05-59</v>
          </cell>
          <cell r="O3166" t="str">
            <v>FA SS 1-6K</v>
          </cell>
          <cell r="Q3166" t="str">
            <v>NaN</v>
          </cell>
          <cell r="R3166">
            <v>0</v>
          </cell>
        </row>
        <row r="3167">
          <cell r="E3167" t="str">
            <v>HFMET190125A0215-56-83</v>
          </cell>
          <cell r="F3167" t="str">
            <v>Meta 61，B06</v>
          </cell>
          <cell r="G3167">
            <v>18</v>
          </cell>
          <cell r="I3167" t="str">
            <v>NaN</v>
          </cell>
          <cell r="J3167">
            <v>0</v>
          </cell>
          <cell r="K3167" t="str">
            <v>NaN</v>
          </cell>
          <cell r="L3167" t="str">
            <v>合格</v>
          </cell>
          <cell r="M3167" t="str">
            <v>张慧</v>
          </cell>
          <cell r="N3167" t="str">
            <v>2019 01 29  16-05-59</v>
          </cell>
          <cell r="O3167" t="str">
            <v>FA SS 1-6K</v>
          </cell>
          <cell r="Q3167" t="str">
            <v>NaN</v>
          </cell>
          <cell r="R3167">
            <v>0</v>
          </cell>
        </row>
        <row r="3169">
          <cell r="E3169" t="str">
            <v>HFMET190128A0216-1-111</v>
          </cell>
          <cell r="F3169" t="str">
            <v>MetB 61，B07</v>
          </cell>
          <cell r="G3169">
            <v>18</v>
          </cell>
          <cell r="I3169">
            <v>613</v>
          </cell>
          <cell r="J3169">
            <v>36.401800000000001</v>
          </cell>
          <cell r="K3169">
            <v>97.7042</v>
          </cell>
          <cell r="L3169" t="str">
            <v>合格</v>
          </cell>
          <cell r="M3169" t="str">
            <v>张慧</v>
          </cell>
          <cell r="N3169" t="str">
            <v>2019 01 29  04-19-16</v>
          </cell>
          <cell r="O3169" t="str">
            <v>FA SS 1-6K</v>
          </cell>
          <cell r="Q3169">
            <v>613</v>
          </cell>
          <cell r="R3169">
            <v>36.401800000000001</v>
          </cell>
        </row>
        <row r="3170">
          <cell r="E3170" t="str">
            <v>HFMET190128A0217-1-112</v>
          </cell>
          <cell r="F3170" t="str">
            <v>MetB 61，B08</v>
          </cell>
          <cell r="G3170">
            <v>18</v>
          </cell>
          <cell r="I3170">
            <v>608</v>
          </cell>
          <cell r="J3170">
            <v>29.7852</v>
          </cell>
          <cell r="K3170">
            <v>80.657399999999996</v>
          </cell>
          <cell r="L3170" t="str">
            <v>合格</v>
          </cell>
          <cell r="M3170" t="str">
            <v>张慧</v>
          </cell>
          <cell r="N3170" t="str">
            <v>2019 01 29  05-30-50</v>
          </cell>
          <cell r="O3170" t="str">
            <v>FA SS 1-6K</v>
          </cell>
          <cell r="Q3170">
            <v>608</v>
          </cell>
          <cell r="R3170">
            <v>29.7852</v>
          </cell>
        </row>
        <row r="3171">
          <cell r="E3171" t="str">
            <v>HFMET190128A0218-1-113</v>
          </cell>
          <cell r="F3171" t="str">
            <v>MetB 61，B09</v>
          </cell>
          <cell r="G3171">
            <v>18</v>
          </cell>
          <cell r="I3171">
            <v>608</v>
          </cell>
          <cell r="J3171">
            <v>27.261900000000001</v>
          </cell>
          <cell r="K3171">
            <v>73.829599999999999</v>
          </cell>
          <cell r="L3171" t="str">
            <v>合格</v>
          </cell>
          <cell r="M3171" t="str">
            <v>张慧</v>
          </cell>
          <cell r="N3171" t="str">
            <v>2019 01 29  06-42-03</v>
          </cell>
          <cell r="O3171" t="str">
            <v>FA SS 1-6K</v>
          </cell>
          <cell r="Q3171">
            <v>608</v>
          </cell>
          <cell r="R3171">
            <v>27.261900000000001</v>
          </cell>
        </row>
        <row r="3172">
          <cell r="E3172" t="str">
            <v>HFMET190128A0219-1-114</v>
          </cell>
          <cell r="F3172" t="str">
            <v>MetB 61，B10</v>
          </cell>
          <cell r="G3172">
            <v>18</v>
          </cell>
          <cell r="I3172">
            <v>623</v>
          </cell>
          <cell r="J3172">
            <v>33.406700000000001</v>
          </cell>
          <cell r="K3172">
            <v>88.186400000000006</v>
          </cell>
          <cell r="L3172" t="str">
            <v>合格</v>
          </cell>
          <cell r="M3172" t="str">
            <v>张慧</v>
          </cell>
          <cell r="N3172" t="str">
            <v>2019 01 29  07-53-16</v>
          </cell>
          <cell r="O3172" t="str">
            <v>FA SS 1-6K</v>
          </cell>
          <cell r="Q3172">
            <v>623</v>
          </cell>
          <cell r="R3172">
            <v>33.406700000000001</v>
          </cell>
        </row>
        <row r="3173">
          <cell r="E3173" t="str">
            <v>HFMET190128A0220-1-115</v>
          </cell>
          <cell r="F3173" t="str">
            <v>MetB 61，B11</v>
          </cell>
          <cell r="G3173">
            <v>18</v>
          </cell>
          <cell r="I3173">
            <v>609</v>
          </cell>
          <cell r="J3173">
            <v>16.521599999999999</v>
          </cell>
          <cell r="K3173">
            <v>44.641800000000003</v>
          </cell>
          <cell r="L3173" t="str">
            <v>合格</v>
          </cell>
          <cell r="M3173" t="str">
            <v>张慧</v>
          </cell>
          <cell r="N3173" t="str">
            <v>2019 01 29  09-04-27</v>
          </cell>
          <cell r="O3173" t="str">
            <v>FA SS 1-6K</v>
          </cell>
          <cell r="Q3173">
            <v>609</v>
          </cell>
          <cell r="R3173">
            <v>16.521599999999999</v>
          </cell>
        </row>
        <row r="3174">
          <cell r="E3174" t="str">
            <v>HFMET190128A0221-16-111</v>
          </cell>
          <cell r="F3174" t="str">
            <v>MetB 61，B12</v>
          </cell>
          <cell r="G3174">
            <v>18</v>
          </cell>
          <cell r="I3174">
            <v>613</v>
          </cell>
          <cell r="J3174">
            <v>71.182599999999994</v>
          </cell>
          <cell r="K3174">
            <v>191.1174</v>
          </cell>
          <cell r="L3174" t="str">
            <v>合格</v>
          </cell>
          <cell r="M3174" t="str">
            <v>张慧</v>
          </cell>
          <cell r="N3174" t="str">
            <v>2019 01 29  10-15-40</v>
          </cell>
          <cell r="O3174" t="str">
            <v>FA SS 1-6K</v>
          </cell>
          <cell r="Q3174">
            <v>613</v>
          </cell>
          <cell r="R3174">
            <v>71.182599999999994</v>
          </cell>
        </row>
        <row r="3175">
          <cell r="E3175" t="str">
            <v>HFMET190128A0222-16-112</v>
          </cell>
          <cell r="F3175" t="str">
            <v>Meta 61，C01</v>
          </cell>
          <cell r="G3175">
            <v>18</v>
          </cell>
          <cell r="I3175">
            <v>610</v>
          </cell>
          <cell r="J3175">
            <v>35.886499999999998</v>
          </cell>
          <cell r="K3175">
            <v>96.769400000000005</v>
          </cell>
          <cell r="L3175" t="str">
            <v>合格</v>
          </cell>
          <cell r="M3175" t="str">
            <v>张慧</v>
          </cell>
          <cell r="N3175" t="str">
            <v>2019 01 29   11-26-52</v>
          </cell>
          <cell r="O3175" t="str">
            <v>FA SS 1-6K</v>
          </cell>
          <cell r="Q3175">
            <v>610</v>
          </cell>
          <cell r="R3175">
            <v>35.886499999999998</v>
          </cell>
        </row>
        <row r="3176">
          <cell r="E3176" t="str">
            <v>HFMET190128A0223-16-113</v>
          </cell>
          <cell r="F3176" t="str">
            <v>Meta 61，C02</v>
          </cell>
          <cell r="G3176">
            <v>18</v>
          </cell>
          <cell r="I3176">
            <v>627</v>
          </cell>
          <cell r="J3176">
            <v>58.064500000000002</v>
          </cell>
          <cell r="K3176">
            <v>152.38409999999999</v>
          </cell>
          <cell r="L3176" t="str">
            <v>合格</v>
          </cell>
          <cell r="M3176" t="str">
            <v>张慧</v>
          </cell>
          <cell r="N3176" t="str">
            <v>2019 01 29  12-38-03</v>
          </cell>
          <cell r="O3176" t="str">
            <v>FA SS 1-6K</v>
          </cell>
          <cell r="Q3176">
            <v>627</v>
          </cell>
          <cell r="R3176">
            <v>58.064500000000002</v>
          </cell>
        </row>
        <row r="3177">
          <cell r="E3177" t="str">
            <v>HFMET190128A0224-16-114</v>
          </cell>
          <cell r="F3177" t="str">
            <v>Meta 61，C03</v>
          </cell>
          <cell r="G3177">
            <v>18</v>
          </cell>
          <cell r="I3177">
            <v>631</v>
          </cell>
          <cell r="J3177">
            <v>50.494399999999999</v>
          </cell>
          <cell r="K3177">
            <v>131.7139</v>
          </cell>
          <cell r="L3177" t="str">
            <v>合格</v>
          </cell>
          <cell r="M3177" t="str">
            <v>张慧</v>
          </cell>
          <cell r="N3177" t="str">
            <v>2019 01 29  04-19-16</v>
          </cell>
          <cell r="O3177" t="str">
            <v>FA SS 1-6K</v>
          </cell>
          <cell r="Q3177">
            <v>632</v>
          </cell>
          <cell r="R3177">
            <v>52.958199999999998</v>
          </cell>
        </row>
        <row r="3178">
          <cell r="E3178" t="str">
            <v>HFMET190128A0225-16-115</v>
          </cell>
          <cell r="F3178" t="str">
            <v>Meta 61，C04</v>
          </cell>
          <cell r="G3178">
            <v>18</v>
          </cell>
          <cell r="I3178">
            <v>631</v>
          </cell>
          <cell r="J3178">
            <v>44.685400000000001</v>
          </cell>
          <cell r="K3178">
            <v>116.52509999999999</v>
          </cell>
          <cell r="L3178" t="str">
            <v>合格</v>
          </cell>
          <cell r="M3178" t="str">
            <v>张慧</v>
          </cell>
          <cell r="N3178" t="str">
            <v>2019 01 29  05-30-50</v>
          </cell>
          <cell r="O3178" t="str">
            <v>FA SS 1-6K</v>
          </cell>
          <cell r="Q3178">
            <v>626</v>
          </cell>
          <cell r="R3178">
            <v>54.142800000000001</v>
          </cell>
        </row>
        <row r="3179">
          <cell r="E3179" t="str">
            <v>HFMET190128A0226-17-111</v>
          </cell>
          <cell r="F3179" t="str">
            <v>Meta 61，C05</v>
          </cell>
          <cell r="G3179">
            <v>18</v>
          </cell>
          <cell r="I3179">
            <v>621</v>
          </cell>
          <cell r="J3179">
            <v>67.138199999999998</v>
          </cell>
          <cell r="K3179">
            <v>177.91249999999999</v>
          </cell>
          <cell r="L3179" t="str">
            <v>合格</v>
          </cell>
          <cell r="M3179" t="str">
            <v>张慧</v>
          </cell>
          <cell r="N3179" t="str">
            <v>2019 01 29  06-42-03</v>
          </cell>
          <cell r="O3179" t="str">
            <v>FA SS 1-6K</v>
          </cell>
          <cell r="Q3179">
            <v>620</v>
          </cell>
          <cell r="R3179">
            <v>84.524100000000004</v>
          </cell>
        </row>
        <row r="3180">
          <cell r="E3180" t="str">
            <v>HFMET190128A0227-17-112</v>
          </cell>
          <cell r="F3180" t="str">
            <v>Meta 61，C06</v>
          </cell>
          <cell r="G3180">
            <v>18</v>
          </cell>
          <cell r="I3180">
            <v>624</v>
          </cell>
          <cell r="J3180">
            <v>56.413200000000003</v>
          </cell>
          <cell r="K3180">
            <v>148.67420000000001</v>
          </cell>
          <cell r="L3180" t="str">
            <v>合格</v>
          </cell>
          <cell r="M3180" t="str">
            <v>张慧</v>
          </cell>
          <cell r="N3180" t="str">
            <v>2019 01 29  07-53-16</v>
          </cell>
          <cell r="O3180" t="str">
            <v>FA SS 1-6K</v>
          </cell>
          <cell r="Q3180">
            <v>624</v>
          </cell>
          <cell r="R3180">
            <v>79.741399999999999</v>
          </cell>
        </row>
        <row r="3181">
          <cell r="E3181" t="str">
            <v>HFMET190128A0228-17-113</v>
          </cell>
          <cell r="F3181" t="str">
            <v>Meta 61，C07</v>
          </cell>
          <cell r="G3181">
            <v>18</v>
          </cell>
          <cell r="I3181">
            <v>624</v>
          </cell>
          <cell r="J3181">
            <v>69.822500000000005</v>
          </cell>
          <cell r="K3181">
            <v>184.26560000000001</v>
          </cell>
          <cell r="L3181" t="str">
            <v>合格</v>
          </cell>
          <cell r="M3181" t="str">
            <v>张慧</v>
          </cell>
          <cell r="N3181" t="str">
            <v>2019 01 29  09-04-27</v>
          </cell>
          <cell r="O3181" t="str">
            <v>FA SS 1-6K</v>
          </cell>
          <cell r="Q3181">
            <v>620</v>
          </cell>
          <cell r="R3181">
            <v>64.783900000000003</v>
          </cell>
        </row>
        <row r="3182">
          <cell r="E3182" t="str">
            <v>HFMET190128A0229-17-114</v>
          </cell>
          <cell r="F3182" t="str">
            <v>Meta 61，C08</v>
          </cell>
          <cell r="G3182">
            <v>18</v>
          </cell>
          <cell r="I3182">
            <v>611</v>
          </cell>
          <cell r="J3182">
            <v>36.558900000000001</v>
          </cell>
          <cell r="K3182">
            <v>98.414699999999996</v>
          </cell>
          <cell r="L3182" t="str">
            <v>合格</v>
          </cell>
          <cell r="M3182" t="str">
            <v>张慧</v>
          </cell>
          <cell r="N3182" t="str">
            <v>2019 01 29  10-15-40</v>
          </cell>
          <cell r="O3182" t="str">
            <v>FA SS 1-6K</v>
          </cell>
          <cell r="Q3182">
            <v>626</v>
          </cell>
          <cell r="R3182">
            <v>75.192099999999996</v>
          </cell>
        </row>
        <row r="3183">
          <cell r="E3183" t="str">
            <v>HFMET190128A0230-17-115</v>
          </cell>
          <cell r="F3183" t="str">
            <v>Meta 61，C09</v>
          </cell>
          <cell r="G3183">
            <v>18</v>
          </cell>
          <cell r="I3183">
            <v>582</v>
          </cell>
          <cell r="J3183">
            <v>11.4077</v>
          </cell>
          <cell r="K3183">
            <v>32.238999999999997</v>
          </cell>
          <cell r="L3183" t="str">
            <v>合格</v>
          </cell>
          <cell r="M3183" t="str">
            <v>张慧</v>
          </cell>
          <cell r="N3183" t="str">
            <v>2019 01 29   11-26-52</v>
          </cell>
          <cell r="O3183" t="str">
            <v>FA SS 1-6K</v>
          </cell>
          <cell r="Q3183">
            <v>619</v>
          </cell>
          <cell r="R3183">
            <v>56.408900000000003</v>
          </cell>
        </row>
        <row r="3184">
          <cell r="E3184" t="str">
            <v>HFMET190128A0231-21-111</v>
          </cell>
          <cell r="F3184" t="str">
            <v>Meta 61，C10</v>
          </cell>
          <cell r="G3184">
            <v>18</v>
          </cell>
          <cell r="I3184">
            <v>670</v>
          </cell>
          <cell r="J3184">
            <v>5.3903999999999996</v>
          </cell>
          <cell r="K3184">
            <v>13.2309</v>
          </cell>
          <cell r="L3184" t="str">
            <v>合格</v>
          </cell>
          <cell r="M3184" t="str">
            <v>张慧</v>
          </cell>
          <cell r="N3184" t="str">
            <v>2019 01 29  12-38-03</v>
          </cell>
          <cell r="O3184" t="str">
            <v>FA SS 1-6K</v>
          </cell>
          <cell r="Q3184">
            <v>621</v>
          </cell>
          <cell r="R3184">
            <v>51.789900000000003</v>
          </cell>
        </row>
        <row r="3185">
          <cell r="E3185" t="str">
            <v>HFMET190128A0232-21-112</v>
          </cell>
          <cell r="F3185" t="str">
            <v>Meta 61，C11</v>
          </cell>
          <cell r="G3185">
            <v>18</v>
          </cell>
          <cell r="I3185">
            <v>634</v>
          </cell>
          <cell r="J3185">
            <v>32.183300000000003</v>
          </cell>
          <cell r="K3185">
            <v>83.517799999999994</v>
          </cell>
          <cell r="L3185" t="str">
            <v>合格</v>
          </cell>
          <cell r="M3185" t="str">
            <v>张慧</v>
          </cell>
          <cell r="N3185" t="str">
            <v>2019 01 29  04-19-16</v>
          </cell>
          <cell r="O3185" t="str">
            <v>FA SS 1-6K</v>
          </cell>
          <cell r="Q3185">
            <v>634</v>
          </cell>
          <cell r="R3185">
            <v>32.183300000000003</v>
          </cell>
        </row>
        <row r="3186">
          <cell r="E3186" t="str">
            <v>HFMET190128A0233-21-113</v>
          </cell>
          <cell r="F3186" t="str">
            <v>Meta 61，C12</v>
          </cell>
          <cell r="G3186">
            <v>18</v>
          </cell>
          <cell r="I3186">
            <v>632</v>
          </cell>
          <cell r="J3186">
            <v>55.600700000000003</v>
          </cell>
          <cell r="K3186">
            <v>144.66800000000001</v>
          </cell>
          <cell r="L3186" t="str">
            <v>合格</v>
          </cell>
          <cell r="M3186" t="str">
            <v>张慧</v>
          </cell>
          <cell r="N3186" t="str">
            <v>2019 01 29  05-30-50</v>
          </cell>
          <cell r="O3186" t="str">
            <v>FA SS 1-6K</v>
          </cell>
          <cell r="Q3186">
            <v>632</v>
          </cell>
          <cell r="R3186">
            <v>55.600700000000003</v>
          </cell>
        </row>
        <row r="3187">
          <cell r="E3187" t="str">
            <v>HFMET190128A0234-21-114</v>
          </cell>
          <cell r="F3187" t="str">
            <v>Meta 61，D01</v>
          </cell>
          <cell r="G3187">
            <v>18</v>
          </cell>
          <cell r="I3187">
            <v>636</v>
          </cell>
          <cell r="J3187">
            <v>33.424999999999997</v>
          </cell>
          <cell r="K3187">
            <v>86.486400000000003</v>
          </cell>
          <cell r="L3187" t="str">
            <v>合格</v>
          </cell>
          <cell r="M3187" t="str">
            <v>张慧</v>
          </cell>
          <cell r="N3187" t="str">
            <v>2019 01 29  06-42-03</v>
          </cell>
          <cell r="O3187" t="str">
            <v>FA SS 1-6K</v>
          </cell>
          <cell r="Q3187">
            <v>636</v>
          </cell>
          <cell r="R3187">
            <v>33.424999999999997</v>
          </cell>
        </row>
        <row r="3188">
          <cell r="E3188" t="str">
            <v>HFMET190128A0235-21-115</v>
          </cell>
          <cell r="F3188" t="str">
            <v>Meta 61，D02</v>
          </cell>
          <cell r="G3188">
            <v>18</v>
          </cell>
          <cell r="I3188">
            <v>632</v>
          </cell>
          <cell r="J3188">
            <v>36.756999999999998</v>
          </cell>
          <cell r="K3188">
            <v>95.7483</v>
          </cell>
          <cell r="L3188" t="str">
            <v>合格</v>
          </cell>
          <cell r="M3188" t="str">
            <v>张慧</v>
          </cell>
          <cell r="N3188" t="str">
            <v>2019 01 29  07-53-16</v>
          </cell>
          <cell r="O3188" t="str">
            <v>FA SS 1-6K</v>
          </cell>
          <cell r="Q3188">
            <v>632</v>
          </cell>
          <cell r="R3188">
            <v>36.756999999999998</v>
          </cell>
        </row>
        <row r="3189">
          <cell r="E3189" t="str">
            <v>HFMET190128A0236-27-111</v>
          </cell>
          <cell r="F3189" t="str">
            <v>Meta 61，D03</v>
          </cell>
          <cell r="G3189">
            <v>18</v>
          </cell>
          <cell r="I3189">
            <v>636</v>
          </cell>
          <cell r="J3189">
            <v>42.4407</v>
          </cell>
          <cell r="K3189">
            <v>109.74590000000001</v>
          </cell>
          <cell r="L3189" t="str">
            <v>合格</v>
          </cell>
          <cell r="M3189" t="str">
            <v>张慧</v>
          </cell>
          <cell r="N3189" t="str">
            <v>2019 01 29  09-04-27</v>
          </cell>
          <cell r="O3189" t="str">
            <v>FA SS 1-6K</v>
          </cell>
          <cell r="Q3189">
            <v>636</v>
          </cell>
          <cell r="R3189">
            <v>42.4407</v>
          </cell>
        </row>
        <row r="3190">
          <cell r="E3190" t="str">
            <v>HFMET190128A0237-27-112</v>
          </cell>
          <cell r="F3190" t="str">
            <v>Meta 61，D04</v>
          </cell>
          <cell r="G3190">
            <v>18</v>
          </cell>
          <cell r="I3190">
            <v>636</v>
          </cell>
          <cell r="J3190">
            <v>56.550699999999999</v>
          </cell>
          <cell r="K3190">
            <v>146.41130000000001</v>
          </cell>
          <cell r="L3190" t="str">
            <v>合格</v>
          </cell>
          <cell r="M3190" t="str">
            <v>张慧</v>
          </cell>
          <cell r="N3190" t="str">
            <v>2019 01 29  10-15-40</v>
          </cell>
          <cell r="O3190" t="str">
            <v>FA SS 1-6K</v>
          </cell>
          <cell r="Q3190">
            <v>636</v>
          </cell>
          <cell r="R3190">
            <v>56.550699999999999</v>
          </cell>
        </row>
        <row r="3191">
          <cell r="E3191" t="str">
            <v>HFMET190128A0238-27-113</v>
          </cell>
          <cell r="F3191" t="str">
            <v>Meta 61，D05</v>
          </cell>
          <cell r="G3191">
            <v>18</v>
          </cell>
          <cell r="I3191">
            <v>634</v>
          </cell>
          <cell r="J3191">
            <v>49.157699999999998</v>
          </cell>
          <cell r="K3191">
            <v>127.6318</v>
          </cell>
          <cell r="L3191" t="str">
            <v>合格</v>
          </cell>
          <cell r="M3191" t="str">
            <v>张慧</v>
          </cell>
          <cell r="N3191" t="str">
            <v>2019 01 29   11-26-52</v>
          </cell>
          <cell r="O3191" t="str">
            <v>FA SS 1-6K</v>
          </cell>
          <cell r="Q3191">
            <v>634</v>
          </cell>
          <cell r="R3191">
            <v>49.157699999999998</v>
          </cell>
        </row>
        <row r="3192">
          <cell r="E3192" t="str">
            <v>HFMET190128A0239-27-114</v>
          </cell>
          <cell r="F3192" t="str">
            <v>Meta 61，D06</v>
          </cell>
          <cell r="G3192">
            <v>18</v>
          </cell>
          <cell r="I3192">
            <v>635</v>
          </cell>
          <cell r="J3192">
            <v>46.331200000000003</v>
          </cell>
          <cell r="K3192">
            <v>119.9956</v>
          </cell>
          <cell r="L3192" t="str">
            <v>合格</v>
          </cell>
          <cell r="M3192" t="str">
            <v>张慧</v>
          </cell>
          <cell r="N3192" t="str">
            <v>2019 01 29  12-38-03</v>
          </cell>
          <cell r="O3192" t="str">
            <v>FA SS 1-6K</v>
          </cell>
          <cell r="Q3192">
            <v>635</v>
          </cell>
          <cell r="R3192">
            <v>46.331200000000003</v>
          </cell>
        </row>
        <row r="3193">
          <cell r="E3193" t="str">
            <v>HFMET190128A0240-27-115</v>
          </cell>
          <cell r="F3193" t="str">
            <v>Meta 61，D07</v>
          </cell>
          <cell r="G3193">
            <v>18</v>
          </cell>
          <cell r="I3193">
            <v>642</v>
          </cell>
          <cell r="J3193">
            <v>23.495999999999999</v>
          </cell>
          <cell r="K3193">
            <v>60.260599999999997</v>
          </cell>
          <cell r="L3193" t="str">
            <v>合格</v>
          </cell>
          <cell r="M3193" t="str">
            <v>张慧</v>
          </cell>
          <cell r="N3193" t="str">
            <v>2019 01 29  04-19-16</v>
          </cell>
          <cell r="O3193" t="str">
            <v>FA SS 1-6K</v>
          </cell>
          <cell r="Q3193">
            <v>642</v>
          </cell>
          <cell r="R3193">
            <v>23.495999999999999</v>
          </cell>
        </row>
        <row r="3194">
          <cell r="E3194" t="str">
            <v>HFMET190128A0241-84-111</v>
          </cell>
          <cell r="F3194" t="str">
            <v>Meta 61，D08</v>
          </cell>
          <cell r="G3194">
            <v>18</v>
          </cell>
          <cell r="I3194">
            <v>637</v>
          </cell>
          <cell r="J3194">
            <v>38.217799999999997</v>
          </cell>
          <cell r="K3194">
            <v>98.6755</v>
          </cell>
          <cell r="L3194" t="str">
            <v>合格</v>
          </cell>
          <cell r="M3194" t="str">
            <v>张慧</v>
          </cell>
          <cell r="N3194" t="str">
            <v>2019 01 29  05-30-50</v>
          </cell>
          <cell r="O3194" t="str">
            <v>FA SS 1-6K</v>
          </cell>
          <cell r="Q3194">
            <v>637</v>
          </cell>
          <cell r="R3194">
            <v>38.217799999999997</v>
          </cell>
        </row>
        <row r="3195">
          <cell r="E3195" t="str">
            <v>HFMET190128A0242-84-112</v>
          </cell>
          <cell r="F3195" t="str">
            <v>Meta 61，D09</v>
          </cell>
          <cell r="G3195">
            <v>18</v>
          </cell>
          <cell r="I3195">
            <v>628</v>
          </cell>
          <cell r="J3195">
            <v>36.4285</v>
          </cell>
          <cell r="K3195">
            <v>95.524000000000001</v>
          </cell>
          <cell r="L3195" t="str">
            <v>合格</v>
          </cell>
          <cell r="M3195" t="str">
            <v>张慧</v>
          </cell>
          <cell r="N3195" t="str">
            <v>2019 01 29  06-42-03</v>
          </cell>
          <cell r="O3195" t="str">
            <v>FA SS 1-6K</v>
          </cell>
          <cell r="Q3195">
            <v>628</v>
          </cell>
          <cell r="R3195">
            <v>36.4285</v>
          </cell>
        </row>
        <row r="3196">
          <cell r="E3196" t="str">
            <v>HFMET190128A0243-84-113</v>
          </cell>
          <cell r="F3196" t="str">
            <v>Meta 61，D10</v>
          </cell>
          <cell r="G3196">
            <v>18</v>
          </cell>
          <cell r="I3196">
            <v>641</v>
          </cell>
          <cell r="J3196">
            <v>54.684199999999997</v>
          </cell>
          <cell r="K3196">
            <v>140.44210000000001</v>
          </cell>
          <cell r="L3196" t="str">
            <v>合格</v>
          </cell>
          <cell r="M3196" t="str">
            <v>张慧</v>
          </cell>
          <cell r="N3196" t="str">
            <v>2019 01 29  07-53-16</v>
          </cell>
          <cell r="O3196" t="str">
            <v>FA SS 1-6K</v>
          </cell>
          <cell r="Q3196">
            <v>641</v>
          </cell>
          <cell r="R3196">
            <v>54.684199999999997</v>
          </cell>
        </row>
        <row r="3197">
          <cell r="E3197" t="str">
            <v>HFMET190128A0244-84-114</v>
          </cell>
          <cell r="F3197" t="str">
            <v>Meta 61，D11</v>
          </cell>
          <cell r="G3197">
            <v>18</v>
          </cell>
          <cell r="I3197">
            <v>640</v>
          </cell>
          <cell r="J3197">
            <v>38.526499999999999</v>
          </cell>
          <cell r="K3197">
            <v>99.008399999999995</v>
          </cell>
          <cell r="L3197" t="str">
            <v>合格</v>
          </cell>
          <cell r="M3197" t="str">
            <v>张慧</v>
          </cell>
          <cell r="N3197" t="str">
            <v>2019 01 29  09-04-27</v>
          </cell>
          <cell r="O3197" t="str">
            <v>FA SS 1-6K</v>
          </cell>
          <cell r="Q3197">
            <v>640</v>
          </cell>
          <cell r="R3197">
            <v>38.526499999999999</v>
          </cell>
        </row>
        <row r="3198">
          <cell r="E3198" t="str">
            <v>HFMET190128A0245-84-115</v>
          </cell>
          <cell r="F3198" t="str">
            <v>Meta 61，D12</v>
          </cell>
          <cell r="G3198">
            <v>18</v>
          </cell>
          <cell r="I3198">
            <v>636</v>
          </cell>
          <cell r="J3198">
            <v>46.804600000000001</v>
          </cell>
          <cell r="K3198">
            <v>121.1998</v>
          </cell>
          <cell r="L3198" t="str">
            <v>合格</v>
          </cell>
          <cell r="M3198" t="str">
            <v>张慧</v>
          </cell>
          <cell r="N3198" t="str">
            <v>2019 01 29  10-15-40</v>
          </cell>
          <cell r="O3198" t="str">
            <v>FA SS 1-6K</v>
          </cell>
          <cell r="Q3198">
            <v>636</v>
          </cell>
          <cell r="R3198">
            <v>46.804600000000001</v>
          </cell>
        </row>
        <row r="3199">
          <cell r="E3199" t="str">
            <v>HFMET190128A0246-85-111</v>
          </cell>
          <cell r="F3199" t="str">
            <v>Meta 61，E01</v>
          </cell>
          <cell r="G3199">
            <v>18</v>
          </cell>
          <cell r="I3199">
            <v>637</v>
          </cell>
          <cell r="J3199">
            <v>28.694700000000001</v>
          </cell>
          <cell r="K3199">
            <v>74.109899999999996</v>
          </cell>
          <cell r="L3199" t="str">
            <v>合格</v>
          </cell>
          <cell r="M3199" t="str">
            <v>张慧</v>
          </cell>
          <cell r="N3199" t="str">
            <v>2019 01 29   11-26-52</v>
          </cell>
          <cell r="O3199" t="str">
            <v>FA SS 1-6K</v>
          </cell>
          <cell r="Q3199">
            <v>637</v>
          </cell>
          <cell r="R3199">
            <v>28.694700000000001</v>
          </cell>
        </row>
        <row r="3200">
          <cell r="E3200" t="str">
            <v>HFMET190128A0247-85-112</v>
          </cell>
          <cell r="F3200" t="str">
            <v>Meta 61，E02</v>
          </cell>
          <cell r="G3200">
            <v>18</v>
          </cell>
          <cell r="I3200">
            <v>632</v>
          </cell>
          <cell r="J3200">
            <v>49.430999999999997</v>
          </cell>
          <cell r="K3200">
            <v>128.81469999999999</v>
          </cell>
          <cell r="L3200" t="str">
            <v>合格</v>
          </cell>
          <cell r="M3200" t="str">
            <v>张慧</v>
          </cell>
          <cell r="N3200" t="str">
            <v>2019 01 29  12-38-03</v>
          </cell>
          <cell r="O3200" t="str">
            <v>FA SS 1-6K</v>
          </cell>
          <cell r="Q3200">
            <v>632</v>
          </cell>
          <cell r="R3200">
            <v>49.430999999999997</v>
          </cell>
        </row>
        <row r="3201">
          <cell r="E3201" t="str">
            <v>HFMET190128A0248-85-113</v>
          </cell>
          <cell r="F3201" t="str">
            <v>Meta 61，E03</v>
          </cell>
          <cell r="G3201">
            <v>18</v>
          </cell>
          <cell r="I3201">
            <v>645</v>
          </cell>
          <cell r="J3201">
            <v>24.638000000000002</v>
          </cell>
          <cell r="K3201">
            <v>62.902099999999997</v>
          </cell>
          <cell r="L3201" t="str">
            <v>合格</v>
          </cell>
          <cell r="M3201" t="str">
            <v>张慧</v>
          </cell>
          <cell r="N3201" t="str">
            <v>2019 01 29  04-19-16</v>
          </cell>
          <cell r="O3201" t="str">
            <v>FA SS 1-6K</v>
          </cell>
          <cell r="Q3201">
            <v>645</v>
          </cell>
          <cell r="R3201">
            <v>24.638000000000002</v>
          </cell>
        </row>
        <row r="3202">
          <cell r="E3202" t="str">
            <v>HFMET190128A0249-85-114</v>
          </cell>
          <cell r="F3202" t="str">
            <v>Meta 61，E04</v>
          </cell>
          <cell r="G3202">
            <v>18</v>
          </cell>
          <cell r="I3202">
            <v>640</v>
          </cell>
          <cell r="J3202">
            <v>38.515099999999997</v>
          </cell>
          <cell r="K3202">
            <v>99.075599999999994</v>
          </cell>
          <cell r="L3202" t="str">
            <v>合格</v>
          </cell>
          <cell r="M3202" t="str">
            <v>张慧</v>
          </cell>
          <cell r="N3202" t="str">
            <v>2019 01 29  05-30-50</v>
          </cell>
          <cell r="O3202" t="str">
            <v>FA SS 1-6K</v>
          </cell>
          <cell r="Q3202">
            <v>640</v>
          </cell>
          <cell r="R3202">
            <v>38.515099999999997</v>
          </cell>
        </row>
        <row r="3203">
          <cell r="E3203" t="str">
            <v>HFMET190128A0250-85-115</v>
          </cell>
          <cell r="F3203" t="str">
            <v>Meta 61，E05</v>
          </cell>
          <cell r="G3203">
            <v>18</v>
          </cell>
          <cell r="I3203">
            <v>643</v>
          </cell>
          <cell r="J3203">
            <v>19.3691</v>
          </cell>
          <cell r="K3203">
            <v>49.591200000000001</v>
          </cell>
          <cell r="L3203" t="str">
            <v>合格</v>
          </cell>
          <cell r="M3203" t="str">
            <v>张慧</v>
          </cell>
          <cell r="N3203" t="str">
            <v>2019 01 29  06-42-03</v>
          </cell>
          <cell r="O3203" t="str">
            <v>FA SS 1-6K</v>
          </cell>
          <cell r="Q3203">
            <v>643</v>
          </cell>
          <cell r="R3203">
            <v>19.3691</v>
          </cell>
        </row>
        <row r="3204">
          <cell r="E3204" t="str">
            <v>HFMET190128A0251-86-111</v>
          </cell>
          <cell r="F3204" t="str">
            <v>Meta 61，E06</v>
          </cell>
          <cell r="G3204">
            <v>18</v>
          </cell>
          <cell r="I3204">
            <v>639</v>
          </cell>
          <cell r="J3204">
            <v>39.6492</v>
          </cell>
          <cell r="K3204">
            <v>102.1163</v>
          </cell>
          <cell r="L3204" t="str">
            <v>合格</v>
          </cell>
          <cell r="M3204" t="str">
            <v>张慧</v>
          </cell>
          <cell r="N3204" t="str">
            <v>2019 01 29  07-53-16</v>
          </cell>
          <cell r="O3204" t="str">
            <v>FA SS 1-6K</v>
          </cell>
          <cell r="Q3204">
            <v>639</v>
          </cell>
          <cell r="R3204">
            <v>39.6492</v>
          </cell>
        </row>
        <row r="3205">
          <cell r="E3205" t="str">
            <v>HFMET190128A0252-86-112</v>
          </cell>
          <cell r="F3205" t="str">
            <v>Meta 61，E07</v>
          </cell>
          <cell r="G3205">
            <v>18</v>
          </cell>
          <cell r="I3205">
            <v>648</v>
          </cell>
          <cell r="J3205">
            <v>28.889199999999999</v>
          </cell>
          <cell r="K3205">
            <v>73.407600000000002</v>
          </cell>
          <cell r="L3205" t="str">
            <v>合格</v>
          </cell>
          <cell r="M3205" t="str">
            <v>张慧</v>
          </cell>
          <cell r="N3205" t="str">
            <v>2019 01 29  09-04-27</v>
          </cell>
          <cell r="O3205" t="str">
            <v>FA SS 1-6K</v>
          </cell>
          <cell r="Q3205">
            <v>648</v>
          </cell>
          <cell r="R3205">
            <v>28.889199999999999</v>
          </cell>
        </row>
        <row r="3206">
          <cell r="E3206" t="str">
            <v>HFMET190128A0253-86-113</v>
          </cell>
          <cell r="F3206" t="str">
            <v>Meta 61，E08</v>
          </cell>
          <cell r="G3206">
            <v>18</v>
          </cell>
          <cell r="I3206">
            <v>641</v>
          </cell>
          <cell r="J3206">
            <v>44.664000000000001</v>
          </cell>
          <cell r="K3206">
            <v>114.6648</v>
          </cell>
          <cell r="L3206" t="str">
            <v>合格</v>
          </cell>
          <cell r="M3206" t="str">
            <v>张慧</v>
          </cell>
          <cell r="N3206" t="str">
            <v>2019 01 29  10-15-40</v>
          </cell>
          <cell r="O3206" t="str">
            <v>FA SS 1-6K</v>
          </cell>
          <cell r="Q3206">
            <v>641</v>
          </cell>
          <cell r="R3206">
            <v>44.664000000000001</v>
          </cell>
        </row>
        <row r="3207">
          <cell r="E3207" t="str">
            <v>HFMET190128A0254-86-114</v>
          </cell>
          <cell r="F3207" t="str">
            <v>Meta 61，E09</v>
          </cell>
          <cell r="G3207">
            <v>18</v>
          </cell>
          <cell r="I3207">
            <v>642</v>
          </cell>
          <cell r="J3207">
            <v>33.0627</v>
          </cell>
          <cell r="K3207">
            <v>84.791899999999998</v>
          </cell>
          <cell r="L3207" t="str">
            <v>合格</v>
          </cell>
          <cell r="M3207" t="str">
            <v>张慧</v>
          </cell>
          <cell r="N3207" t="str">
            <v>2019 01 29   11-26-52</v>
          </cell>
          <cell r="O3207" t="str">
            <v>FA SS 1-6K</v>
          </cell>
          <cell r="Q3207">
            <v>642</v>
          </cell>
          <cell r="R3207">
            <v>33.0627</v>
          </cell>
        </row>
        <row r="3208">
          <cell r="E3208" t="str">
            <v>HFMET190128A0255-86-115</v>
          </cell>
          <cell r="F3208" t="str">
            <v>Meta 61，E10</v>
          </cell>
          <cell r="G3208">
            <v>18</v>
          </cell>
          <cell r="I3208">
            <v>651</v>
          </cell>
          <cell r="J3208">
            <v>27.934100000000001</v>
          </cell>
          <cell r="K3208">
            <v>70.612799999999993</v>
          </cell>
          <cell r="L3208" t="str">
            <v>合格</v>
          </cell>
          <cell r="M3208" t="str">
            <v>张慧</v>
          </cell>
          <cell r="N3208" t="str">
            <v>2019 01 29  12-38-03</v>
          </cell>
          <cell r="O3208" t="str">
            <v>FA SS 1-6K</v>
          </cell>
          <cell r="Q3208">
            <v>651</v>
          </cell>
          <cell r="R3208">
            <v>27.934100000000001</v>
          </cell>
        </row>
        <row r="3209">
          <cell r="E3209" t="str">
            <v>HFMET190128A0256-87-111</v>
          </cell>
          <cell r="F3209" t="str">
            <v>Meta 61，E11</v>
          </cell>
          <cell r="G3209">
            <v>18</v>
          </cell>
          <cell r="I3209">
            <v>629</v>
          </cell>
          <cell r="J3209">
            <v>23.557400000000001</v>
          </cell>
          <cell r="K3209">
            <v>61.642299999999999</v>
          </cell>
          <cell r="L3209" t="str">
            <v>合格</v>
          </cell>
          <cell r="M3209" t="str">
            <v>张慧</v>
          </cell>
          <cell r="N3209" t="str">
            <v>2019 01 29  04-19-16</v>
          </cell>
          <cell r="O3209" t="str">
            <v>FA SS 1-6K</v>
          </cell>
          <cell r="Q3209">
            <v>629</v>
          </cell>
          <cell r="R3209">
            <v>23.557400000000001</v>
          </cell>
        </row>
        <row r="3210">
          <cell r="E3210" t="str">
            <v>HFMET190128A0257-87-112</v>
          </cell>
          <cell r="F3210" t="str">
            <v>Meta 61，E12</v>
          </cell>
          <cell r="G3210">
            <v>18</v>
          </cell>
          <cell r="I3210">
            <v>629</v>
          </cell>
          <cell r="J3210">
            <v>26.774000000000001</v>
          </cell>
          <cell r="K3210">
            <v>70.086399999999998</v>
          </cell>
          <cell r="L3210" t="str">
            <v>合格</v>
          </cell>
          <cell r="M3210" t="str">
            <v>张慧</v>
          </cell>
          <cell r="N3210" t="str">
            <v>2019 01 29  05-30-50</v>
          </cell>
          <cell r="O3210" t="str">
            <v>FA SS 1-6K</v>
          </cell>
          <cell r="Q3210">
            <v>629</v>
          </cell>
          <cell r="R3210">
            <v>26.774000000000001</v>
          </cell>
        </row>
        <row r="3211">
          <cell r="E3211" t="str">
            <v>HFMET190128A0258-87-113</v>
          </cell>
          <cell r="F3211" t="str">
            <v>Meta 61，F01</v>
          </cell>
          <cell r="G3211">
            <v>18</v>
          </cell>
          <cell r="I3211">
            <v>632</v>
          </cell>
          <cell r="J3211">
            <v>21.8642</v>
          </cell>
          <cell r="K3211">
            <v>56.896599999999999</v>
          </cell>
          <cell r="L3211" t="str">
            <v>合格</v>
          </cell>
          <cell r="M3211" t="str">
            <v>张慧</v>
          </cell>
          <cell r="N3211" t="str">
            <v>2019 01 29  06-42-03</v>
          </cell>
          <cell r="O3211" t="str">
            <v>FA SS 1-6K</v>
          </cell>
          <cell r="Q3211">
            <v>632</v>
          </cell>
          <cell r="R3211">
            <v>21.8642</v>
          </cell>
        </row>
        <row r="3212">
          <cell r="E3212" t="str">
            <v>HFMET190128A0259-87-114</v>
          </cell>
          <cell r="F3212" t="str">
            <v>Meta 61，F02</v>
          </cell>
          <cell r="G3212">
            <v>18</v>
          </cell>
          <cell r="I3212">
            <v>633</v>
          </cell>
          <cell r="J3212">
            <v>23.274100000000001</v>
          </cell>
          <cell r="K3212">
            <v>60.551299999999998</v>
          </cell>
          <cell r="L3212" t="str">
            <v>合格</v>
          </cell>
          <cell r="M3212" t="str">
            <v>张慧</v>
          </cell>
          <cell r="N3212" t="str">
            <v>2019 01 29  07-53-16</v>
          </cell>
          <cell r="O3212" t="str">
            <v>FA SS 1-6K</v>
          </cell>
          <cell r="Q3212">
            <v>633</v>
          </cell>
          <cell r="R3212">
            <v>23.274100000000001</v>
          </cell>
        </row>
        <row r="3213">
          <cell r="E3213" t="str">
            <v>HFMET190128A0260-87-115</v>
          </cell>
          <cell r="F3213" t="str">
            <v>Meta 61，F03</v>
          </cell>
          <cell r="G3213">
            <v>18</v>
          </cell>
          <cell r="I3213">
            <v>635</v>
          </cell>
          <cell r="J3213">
            <v>15.8794</v>
          </cell>
          <cell r="K3213">
            <v>41.164299999999997</v>
          </cell>
          <cell r="L3213" t="str">
            <v>合格</v>
          </cell>
          <cell r="M3213" t="str">
            <v>张慧</v>
          </cell>
          <cell r="N3213" t="str">
            <v>2019 01 29  09-04-27</v>
          </cell>
          <cell r="O3213" t="str">
            <v>FA SS 1-6K</v>
          </cell>
          <cell r="Q3213">
            <v>635</v>
          </cell>
          <cell r="R3213">
            <v>15.8794</v>
          </cell>
        </row>
        <row r="3214">
          <cell r="E3214" t="str">
            <v>HFMET190128A0261-88-111</v>
          </cell>
          <cell r="F3214" t="str">
            <v>Meta 61，F04</v>
          </cell>
          <cell r="G3214">
            <v>18</v>
          </cell>
          <cell r="I3214">
            <v>634</v>
          </cell>
          <cell r="J3214">
            <v>34.168599999999998</v>
          </cell>
          <cell r="K3214">
            <v>88.747600000000006</v>
          </cell>
          <cell r="L3214" t="str">
            <v>合格</v>
          </cell>
          <cell r="M3214" t="str">
            <v>张慧</v>
          </cell>
          <cell r="N3214" t="str">
            <v>2019 01 29  10-15-40</v>
          </cell>
          <cell r="O3214" t="str">
            <v>FA SS 1-6K</v>
          </cell>
          <cell r="Q3214">
            <v>634</v>
          </cell>
          <cell r="R3214">
            <v>34.168599999999998</v>
          </cell>
        </row>
        <row r="3215">
          <cell r="E3215" t="str">
            <v>HFMET190128A0262-88-112</v>
          </cell>
          <cell r="F3215" t="str">
            <v>Meta 61，F05</v>
          </cell>
          <cell r="G3215">
            <v>18</v>
          </cell>
          <cell r="I3215">
            <v>628</v>
          </cell>
          <cell r="J3215">
            <v>27.176500000000001</v>
          </cell>
          <cell r="K3215">
            <v>71.172499999999999</v>
          </cell>
          <cell r="L3215" t="str">
            <v>合格</v>
          </cell>
          <cell r="M3215" t="str">
            <v>张慧</v>
          </cell>
          <cell r="N3215" t="str">
            <v>2019 01 29   11-26-52</v>
          </cell>
          <cell r="O3215" t="str">
            <v>FA SS 1-6K</v>
          </cell>
          <cell r="Q3215">
            <v>628</v>
          </cell>
          <cell r="R3215">
            <v>27.176500000000001</v>
          </cell>
        </row>
        <row r="3216">
          <cell r="E3216" t="str">
            <v>HFMET190128A0263-88-113</v>
          </cell>
          <cell r="F3216" t="str">
            <v>Meta 61，F06</v>
          </cell>
          <cell r="G3216">
            <v>18</v>
          </cell>
          <cell r="I3216">
            <v>635</v>
          </cell>
          <cell r="J3216">
            <v>23.4617</v>
          </cell>
          <cell r="K3216">
            <v>60.7759</v>
          </cell>
          <cell r="L3216" t="str">
            <v>合格</v>
          </cell>
          <cell r="M3216" t="str">
            <v>张慧</v>
          </cell>
          <cell r="N3216" t="str">
            <v>2019 01 29  12-38-03</v>
          </cell>
          <cell r="O3216" t="str">
            <v>FA SS 1-6K</v>
          </cell>
          <cell r="Q3216">
            <v>635</v>
          </cell>
          <cell r="R3216">
            <v>23.4617</v>
          </cell>
        </row>
        <row r="3217">
          <cell r="E3217" t="str">
            <v>HFMET190128A0264-88-114</v>
          </cell>
          <cell r="F3217" t="str">
            <v>Meta 61，F07</v>
          </cell>
          <cell r="G3217">
            <v>18</v>
          </cell>
          <cell r="I3217">
            <v>640</v>
          </cell>
          <cell r="J3217">
            <v>28.72</v>
          </cell>
          <cell r="K3217">
            <v>73.826499999999996</v>
          </cell>
          <cell r="L3217" t="str">
            <v>合格</v>
          </cell>
          <cell r="M3217" t="str">
            <v>张慧</v>
          </cell>
          <cell r="N3217" t="str">
            <v>2019 01 29  04-19-16</v>
          </cell>
          <cell r="O3217" t="str">
            <v>FA SS 1-6K</v>
          </cell>
          <cell r="Q3217">
            <v>640</v>
          </cell>
          <cell r="R3217">
            <v>28.72</v>
          </cell>
        </row>
        <row r="3218">
          <cell r="E3218" t="str">
            <v>HFMET190128A0265-88-115</v>
          </cell>
          <cell r="F3218" t="str">
            <v>Meta 61，F08</v>
          </cell>
          <cell r="G3218">
            <v>18</v>
          </cell>
          <cell r="I3218">
            <v>638</v>
          </cell>
          <cell r="J3218">
            <v>21.0275</v>
          </cell>
          <cell r="K3218">
            <v>54.25</v>
          </cell>
          <cell r="L3218" t="str">
            <v>合格</v>
          </cell>
          <cell r="M3218" t="str">
            <v>张慧</v>
          </cell>
          <cell r="N3218" t="str">
            <v>2019 01 29  05-30-50</v>
          </cell>
          <cell r="O3218" t="str">
            <v>FA SS 1-6K</v>
          </cell>
          <cell r="Q3218">
            <v>638</v>
          </cell>
          <cell r="R3218">
            <v>21.0275</v>
          </cell>
        </row>
        <row r="3219">
          <cell r="E3219" t="str">
            <v>HFMET190128A0266-89-111</v>
          </cell>
          <cell r="F3219" t="str">
            <v>Meta 61，F09</v>
          </cell>
          <cell r="G3219">
            <v>18</v>
          </cell>
          <cell r="I3219">
            <v>634</v>
          </cell>
          <cell r="J3219">
            <v>23.838899999999999</v>
          </cell>
          <cell r="K3219">
            <v>61.861899999999999</v>
          </cell>
          <cell r="L3219" t="str">
            <v>合格</v>
          </cell>
          <cell r="M3219" t="str">
            <v>张慧</v>
          </cell>
          <cell r="N3219" t="str">
            <v>2019 01 29  06-42-03</v>
          </cell>
          <cell r="O3219" t="str">
            <v>FA SS 1-6K</v>
          </cell>
          <cell r="Q3219">
            <v>634</v>
          </cell>
          <cell r="R3219">
            <v>23.838899999999999</v>
          </cell>
        </row>
        <row r="3220">
          <cell r="E3220" t="str">
            <v>HFMET190128A0267-89-112</v>
          </cell>
          <cell r="F3220" t="str">
            <v>Meta 61，F10</v>
          </cell>
          <cell r="G3220">
            <v>18</v>
          </cell>
          <cell r="I3220">
            <v>642</v>
          </cell>
          <cell r="J3220">
            <v>20.323499999999999</v>
          </cell>
          <cell r="K3220">
            <v>52.1036</v>
          </cell>
          <cell r="L3220" t="str">
            <v>合格</v>
          </cell>
          <cell r="M3220" t="str">
            <v>张慧</v>
          </cell>
          <cell r="N3220" t="str">
            <v>2019 01 29  07-53-16</v>
          </cell>
          <cell r="O3220" t="str">
            <v>FA SS 1-6K</v>
          </cell>
          <cell r="Q3220">
            <v>642</v>
          </cell>
          <cell r="R3220">
            <v>20.323499999999999</v>
          </cell>
        </row>
        <row r="3221">
          <cell r="E3221" t="str">
            <v>HFMET190128A0268-89-113</v>
          </cell>
          <cell r="F3221" t="str">
            <v>Meta 61，F11</v>
          </cell>
          <cell r="G3221">
            <v>18</v>
          </cell>
          <cell r="I3221">
            <v>640</v>
          </cell>
          <cell r="J3221">
            <v>22.075299999999999</v>
          </cell>
          <cell r="K3221">
            <v>56.7346</v>
          </cell>
          <cell r="L3221" t="str">
            <v>合格</v>
          </cell>
          <cell r="M3221" t="str">
            <v>张慧</v>
          </cell>
          <cell r="N3221" t="str">
            <v>2019 01 29  09-04-27</v>
          </cell>
          <cell r="O3221" t="str">
            <v>FA SS 1-6K</v>
          </cell>
          <cell r="Q3221">
            <v>640</v>
          </cell>
          <cell r="R3221">
            <v>22.075299999999999</v>
          </cell>
        </row>
        <row r="3222">
          <cell r="E3222" t="str">
            <v>HFMET190128A0269-89-114</v>
          </cell>
          <cell r="F3222" t="str">
            <v>Meta 61，F12</v>
          </cell>
          <cell r="G3222">
            <v>18</v>
          </cell>
          <cell r="I3222">
            <v>639</v>
          </cell>
          <cell r="J3222">
            <v>40.994300000000003</v>
          </cell>
          <cell r="K3222">
            <v>105.523</v>
          </cell>
          <cell r="L3222" t="str">
            <v>合格</v>
          </cell>
          <cell r="M3222" t="str">
            <v>张慧</v>
          </cell>
          <cell r="N3222" t="str">
            <v>2019 01 29  10-15-40</v>
          </cell>
          <cell r="O3222" t="str">
            <v>FA SS 1-6K</v>
          </cell>
          <cell r="Q3222">
            <v>639</v>
          </cell>
          <cell r="R3222">
            <v>40.994300000000003</v>
          </cell>
        </row>
        <row r="3223">
          <cell r="E3223" t="str">
            <v>HFMET190128A0270-89-115</v>
          </cell>
          <cell r="F3223" t="str">
            <v>Meta 61，G01</v>
          </cell>
          <cell r="G3223">
            <v>18</v>
          </cell>
          <cell r="I3223">
            <v>638</v>
          </cell>
          <cell r="J3223">
            <v>18.4604</v>
          </cell>
          <cell r="K3223">
            <v>47.593000000000004</v>
          </cell>
          <cell r="L3223" t="str">
            <v>合格</v>
          </cell>
          <cell r="M3223" t="str">
            <v>张慧</v>
          </cell>
          <cell r="N3223" t="str">
            <v>2019 01 29   11-26-52</v>
          </cell>
          <cell r="O3223" t="str">
            <v>FA SS 1-6K</v>
          </cell>
          <cell r="Q3223">
            <v>638</v>
          </cell>
          <cell r="R3223">
            <v>18.4604</v>
          </cell>
        </row>
        <row r="3224">
          <cell r="E3224" t="str">
            <v>HFMET190128A0271-90-111</v>
          </cell>
          <cell r="F3224" t="str">
            <v>Meta 61，G02</v>
          </cell>
          <cell r="G3224">
            <v>18</v>
          </cell>
          <cell r="I3224">
            <v>645</v>
          </cell>
          <cell r="J3224">
            <v>17.730899999999998</v>
          </cell>
          <cell r="K3224">
            <v>45.208799999999997</v>
          </cell>
          <cell r="L3224" t="str">
            <v>合格</v>
          </cell>
          <cell r="M3224" t="str">
            <v>张慧</v>
          </cell>
          <cell r="N3224" t="str">
            <v>2019 01 29  12-38-03</v>
          </cell>
          <cell r="O3224" t="str">
            <v>FA SS 1-6K</v>
          </cell>
          <cell r="Q3224">
            <v>645</v>
          </cell>
          <cell r="R3224">
            <v>17.730899999999998</v>
          </cell>
        </row>
        <row r="3225">
          <cell r="E3225" t="str">
            <v>HFMET190128A0272-90-113</v>
          </cell>
          <cell r="F3225" t="str">
            <v>Meta 61，G03</v>
          </cell>
          <cell r="G3225">
            <v>18</v>
          </cell>
          <cell r="I3225">
            <v>622</v>
          </cell>
          <cell r="J3225">
            <v>45.861499999999999</v>
          </cell>
          <cell r="K3225">
            <v>121.276</v>
          </cell>
          <cell r="L3225" t="str">
            <v>合格</v>
          </cell>
          <cell r="M3225" t="str">
            <v>张慧</v>
          </cell>
          <cell r="N3225" t="str">
            <v>2019 01 29  04-19-16</v>
          </cell>
          <cell r="O3225" t="str">
            <v>FA SS 1-6K</v>
          </cell>
          <cell r="Q3225">
            <v>622</v>
          </cell>
          <cell r="R3225">
            <v>45.861499999999999</v>
          </cell>
        </row>
        <row r="3226">
          <cell r="E3226" t="str">
            <v>HFMET190128A0273-90-114</v>
          </cell>
          <cell r="F3226" t="str">
            <v>Meta 61，G04</v>
          </cell>
          <cell r="G3226">
            <v>18</v>
          </cell>
          <cell r="I3226">
            <v>630</v>
          </cell>
          <cell r="J3226">
            <v>35.7271</v>
          </cell>
          <cell r="K3226">
            <v>93.281400000000005</v>
          </cell>
          <cell r="L3226" t="str">
            <v>合格</v>
          </cell>
          <cell r="M3226" t="str">
            <v>张慧</v>
          </cell>
          <cell r="N3226" t="str">
            <v>2019 01 29  05-30-50</v>
          </cell>
          <cell r="O3226" t="str">
            <v>FA SS 1-6K</v>
          </cell>
          <cell r="Q3226">
            <v>630</v>
          </cell>
          <cell r="R3226">
            <v>35.7271</v>
          </cell>
        </row>
        <row r="3227">
          <cell r="E3227" t="str">
            <v>HFMET190128A0274-90-115</v>
          </cell>
          <cell r="F3227" t="str">
            <v>Meta 61，G05</v>
          </cell>
          <cell r="G3227">
            <v>18</v>
          </cell>
          <cell r="I3227">
            <v>627</v>
          </cell>
          <cell r="J3227">
            <v>38.494700000000002</v>
          </cell>
          <cell r="K3227">
            <v>100.9765</v>
          </cell>
          <cell r="L3227" t="str">
            <v>合格</v>
          </cell>
          <cell r="M3227" t="str">
            <v>张慧</v>
          </cell>
          <cell r="N3227" t="str">
            <v>2019 01 29  06-42-03</v>
          </cell>
          <cell r="O3227" t="str">
            <v>FA SS 1-6K</v>
          </cell>
          <cell r="Q3227">
            <v>627</v>
          </cell>
          <cell r="R3227">
            <v>38.494700000000002</v>
          </cell>
        </row>
        <row r="3228">
          <cell r="E3228" t="str">
            <v>HFMET190128A0275-91-111</v>
          </cell>
          <cell r="F3228" t="str">
            <v>Meta 61，G06</v>
          </cell>
          <cell r="G3228">
            <v>18</v>
          </cell>
          <cell r="I3228">
            <v>620</v>
          </cell>
          <cell r="J3228">
            <v>41.3157</v>
          </cell>
          <cell r="K3228">
            <v>109.7256</v>
          </cell>
          <cell r="L3228" t="str">
            <v>合格</v>
          </cell>
          <cell r="M3228" t="str">
            <v>张慧</v>
          </cell>
          <cell r="N3228" t="str">
            <v>2019 01 29  07-53-16</v>
          </cell>
          <cell r="O3228" t="str">
            <v>FA SS 1-6K</v>
          </cell>
          <cell r="Q3228">
            <v>620</v>
          </cell>
          <cell r="R3228">
            <v>41.3157</v>
          </cell>
        </row>
        <row r="3229">
          <cell r="E3229" t="str">
            <v>HFMET190128A0276-91-113</v>
          </cell>
          <cell r="F3229" t="str">
            <v>Meta 61，G07</v>
          </cell>
          <cell r="G3229">
            <v>18</v>
          </cell>
          <cell r="I3229">
            <v>620</v>
          </cell>
          <cell r="J3229">
            <v>89.277100000000004</v>
          </cell>
          <cell r="K3229">
            <v>236.84520000000001</v>
          </cell>
          <cell r="L3229" t="str">
            <v>合格</v>
          </cell>
          <cell r="M3229" t="str">
            <v>张慧</v>
          </cell>
          <cell r="N3229" t="str">
            <v>2019 01 29  09-04-27</v>
          </cell>
          <cell r="O3229" t="str">
            <v>FA SS 1-6K</v>
          </cell>
          <cell r="Q3229">
            <v>620</v>
          </cell>
          <cell r="R3229">
            <v>89.277100000000004</v>
          </cell>
        </row>
        <row r="3230">
          <cell r="E3230" t="str">
            <v>HFMET190128A0277-91-114</v>
          </cell>
          <cell r="F3230" t="str">
            <v>Meta 61，G08</v>
          </cell>
          <cell r="G3230">
            <v>18</v>
          </cell>
          <cell r="I3230">
            <v>612</v>
          </cell>
          <cell r="J3230">
            <v>100.82640000000001</v>
          </cell>
          <cell r="K3230">
            <v>270.93790000000001</v>
          </cell>
          <cell r="L3230" t="str">
            <v>合格</v>
          </cell>
          <cell r="M3230" t="str">
            <v>张慧</v>
          </cell>
          <cell r="N3230" t="str">
            <v>2019 01 29  10-15-40</v>
          </cell>
          <cell r="O3230" t="str">
            <v>FA SS 1-6K</v>
          </cell>
          <cell r="Q3230">
            <v>612</v>
          </cell>
          <cell r="R3230">
            <v>100.82640000000001</v>
          </cell>
        </row>
        <row r="3231">
          <cell r="E3231" t="str">
            <v>HFMET190128A0278-91-115</v>
          </cell>
          <cell r="F3231" t="str">
            <v>Meta 61，G09</v>
          </cell>
          <cell r="G3231">
            <v>18</v>
          </cell>
          <cell r="I3231">
            <v>620</v>
          </cell>
          <cell r="J3231">
            <v>47.752600000000001</v>
          </cell>
          <cell r="K3231">
            <v>126.8173</v>
          </cell>
          <cell r="L3231" t="str">
            <v>合格</v>
          </cell>
          <cell r="M3231" t="str">
            <v>张慧</v>
          </cell>
          <cell r="N3231" t="str">
            <v>2019 01 29   11-26-52</v>
          </cell>
          <cell r="O3231" t="str">
            <v>FA SS 1-6K</v>
          </cell>
          <cell r="Q3231">
            <v>620</v>
          </cell>
          <cell r="R3231">
            <v>47.752600000000001</v>
          </cell>
        </row>
        <row r="3232">
          <cell r="E3232" t="str">
            <v>HFMET190128A0279-92-111</v>
          </cell>
          <cell r="F3232" t="str">
            <v>Meta 61，G10</v>
          </cell>
          <cell r="G3232">
            <v>18</v>
          </cell>
          <cell r="I3232">
            <v>618</v>
          </cell>
          <cell r="J3232">
            <v>68.163899999999998</v>
          </cell>
          <cell r="K3232">
            <v>181.56020000000001</v>
          </cell>
          <cell r="L3232" t="str">
            <v>合格</v>
          </cell>
          <cell r="M3232" t="str">
            <v>张慧</v>
          </cell>
          <cell r="N3232" t="str">
            <v>2019 01 29  12-38-03</v>
          </cell>
          <cell r="O3232" t="str">
            <v>FA SS 1-6K</v>
          </cell>
          <cell r="Q3232">
            <v>618</v>
          </cell>
          <cell r="R3232">
            <v>68.163899999999998</v>
          </cell>
        </row>
        <row r="3233">
          <cell r="E3233" t="str">
            <v>HFMET190128A0280-92-113</v>
          </cell>
          <cell r="F3233" t="str">
            <v>Meta 61，G11</v>
          </cell>
          <cell r="G3233">
            <v>18</v>
          </cell>
          <cell r="I3233">
            <v>605</v>
          </cell>
          <cell r="J3233">
            <v>40.203699999999998</v>
          </cell>
          <cell r="K3233">
            <v>109.3137</v>
          </cell>
          <cell r="L3233" t="str">
            <v>合格</v>
          </cell>
          <cell r="M3233" t="str">
            <v>张慧</v>
          </cell>
          <cell r="N3233" t="str">
            <v>2019 01 29  04-19-16</v>
          </cell>
          <cell r="O3233" t="str">
            <v>FA SS 1-6K</v>
          </cell>
          <cell r="Q3233">
            <v>605</v>
          </cell>
          <cell r="R3233">
            <v>40.203699999999998</v>
          </cell>
        </row>
        <row r="3234">
          <cell r="E3234" t="str">
            <v>HFMET190128A0281-92-114</v>
          </cell>
          <cell r="F3234" t="str">
            <v>Meta 61，G12</v>
          </cell>
          <cell r="G3234">
            <v>18</v>
          </cell>
          <cell r="I3234">
            <v>610</v>
          </cell>
          <cell r="J3234">
            <v>78.381900000000002</v>
          </cell>
          <cell r="K3234">
            <v>211.5128</v>
          </cell>
          <cell r="L3234" t="str">
            <v>合格</v>
          </cell>
          <cell r="M3234" t="str">
            <v>张慧</v>
          </cell>
          <cell r="N3234" t="str">
            <v>2019 01 29  05-30-50</v>
          </cell>
          <cell r="O3234" t="str">
            <v>FA SS 1-6K</v>
          </cell>
          <cell r="Q3234">
            <v>610</v>
          </cell>
          <cell r="R3234">
            <v>78.381900000000002</v>
          </cell>
        </row>
        <row r="3235">
          <cell r="E3235" t="str">
            <v>HFMET190128A0282-93-111</v>
          </cell>
          <cell r="F3235" t="str">
            <v>Meta 61，H01</v>
          </cell>
          <cell r="G3235">
            <v>18</v>
          </cell>
          <cell r="I3235">
            <v>602</v>
          </cell>
          <cell r="J3235">
            <v>33.803800000000003</v>
          </cell>
          <cell r="K3235">
            <v>92.387799999999999</v>
          </cell>
          <cell r="L3235" t="str">
            <v>合格</v>
          </cell>
          <cell r="M3235" t="str">
            <v>张慧</v>
          </cell>
          <cell r="N3235" t="str">
            <v>2019 01 29  06-42-03</v>
          </cell>
          <cell r="O3235" t="str">
            <v>FA SS 1-6K</v>
          </cell>
          <cell r="Q3235">
            <v>602</v>
          </cell>
          <cell r="R3235">
            <v>33.803800000000003</v>
          </cell>
        </row>
        <row r="3236">
          <cell r="E3236" t="str">
            <v>HFMET190128A0283-93-112</v>
          </cell>
          <cell r="F3236" t="str">
            <v>Meta 61，H02</v>
          </cell>
          <cell r="G3236">
            <v>18</v>
          </cell>
          <cell r="I3236">
            <v>601</v>
          </cell>
          <cell r="J3236">
            <v>20.588000000000001</v>
          </cell>
          <cell r="K3236">
            <v>56.407299999999999</v>
          </cell>
          <cell r="L3236" t="str">
            <v>合格</v>
          </cell>
          <cell r="M3236" t="str">
            <v>张慧</v>
          </cell>
          <cell r="N3236" t="str">
            <v>2019 01 29  07-53-16</v>
          </cell>
          <cell r="O3236" t="str">
            <v>FA SS 1-6K</v>
          </cell>
          <cell r="Q3236">
            <v>601</v>
          </cell>
          <cell r="R3236">
            <v>20.588000000000001</v>
          </cell>
        </row>
        <row r="3237">
          <cell r="E3237" t="str">
            <v>HFMET190128A0284-93-113</v>
          </cell>
          <cell r="F3237" t="str">
            <v>Meta 61，H03</v>
          </cell>
          <cell r="G3237">
            <v>18</v>
          </cell>
          <cell r="I3237">
            <v>600</v>
          </cell>
          <cell r="J3237">
            <v>23.832100000000001</v>
          </cell>
          <cell r="K3237">
            <v>65.3797</v>
          </cell>
          <cell r="L3237" t="str">
            <v>合格</v>
          </cell>
          <cell r="M3237" t="str">
            <v>张慧</v>
          </cell>
          <cell r="N3237" t="str">
            <v>2019 01 29  09-04-27</v>
          </cell>
          <cell r="O3237" t="str">
            <v>FA SS 1-6K</v>
          </cell>
          <cell r="Q3237">
            <v>600</v>
          </cell>
          <cell r="R3237">
            <v>23.832100000000001</v>
          </cell>
        </row>
        <row r="3238">
          <cell r="E3238" t="str">
            <v>HFMET190128A0285-93-114</v>
          </cell>
          <cell r="F3238" t="str">
            <v>Meta 61，H04</v>
          </cell>
          <cell r="G3238">
            <v>18</v>
          </cell>
          <cell r="I3238">
            <v>591</v>
          </cell>
          <cell r="J3238">
            <v>32.432299999999998</v>
          </cell>
          <cell r="K3238">
            <v>90.323300000000003</v>
          </cell>
          <cell r="L3238" t="str">
            <v>合格</v>
          </cell>
          <cell r="M3238" t="str">
            <v>张慧</v>
          </cell>
          <cell r="N3238" t="str">
            <v>2019 01 29  10-15-40</v>
          </cell>
          <cell r="O3238" t="str">
            <v>FA SS 1-6K</v>
          </cell>
          <cell r="Q3238">
            <v>591</v>
          </cell>
          <cell r="R3238">
            <v>32.432299999999998</v>
          </cell>
        </row>
        <row r="3239">
          <cell r="E3239" t="str">
            <v>HFMET190128A0286-94-111</v>
          </cell>
          <cell r="F3239" t="str">
            <v>Meta 61，H05</v>
          </cell>
          <cell r="G3239">
            <v>18</v>
          </cell>
          <cell r="I3239">
            <v>607</v>
          </cell>
          <cell r="J3239">
            <v>42.394399999999997</v>
          </cell>
          <cell r="K3239">
            <v>114.9684</v>
          </cell>
          <cell r="L3239" t="str">
            <v>合格</v>
          </cell>
          <cell r="M3239" t="str">
            <v>张慧</v>
          </cell>
          <cell r="N3239" t="str">
            <v>2019 01 29   11-26-52</v>
          </cell>
          <cell r="O3239" t="str">
            <v>FA SS 1-6K</v>
          </cell>
          <cell r="Q3239">
            <v>607</v>
          </cell>
          <cell r="R3239">
            <v>42.394399999999997</v>
          </cell>
        </row>
        <row r="3240">
          <cell r="E3240" t="str">
            <v>HFMET190128A0287-94-112</v>
          </cell>
          <cell r="F3240" t="str">
            <v>Meta 61，H06</v>
          </cell>
          <cell r="G3240">
            <v>18</v>
          </cell>
          <cell r="I3240">
            <v>598</v>
          </cell>
          <cell r="J3240">
            <v>23.049800000000001</v>
          </cell>
          <cell r="K3240">
            <v>63.390900000000002</v>
          </cell>
          <cell r="L3240" t="str">
            <v>合格</v>
          </cell>
          <cell r="M3240" t="str">
            <v>张慧</v>
          </cell>
          <cell r="N3240" t="str">
            <v>2019 01 29  12-38-03</v>
          </cell>
          <cell r="O3240" t="str">
            <v>FA SS 1-6K</v>
          </cell>
          <cell r="Q3240">
            <v>598</v>
          </cell>
          <cell r="R3240">
            <v>23.049800000000001</v>
          </cell>
        </row>
        <row r="3241">
          <cell r="E3241" t="str">
            <v>HFMET190128A0288-94-113</v>
          </cell>
          <cell r="F3241" t="str">
            <v>Meta 61，H07</v>
          </cell>
          <cell r="G3241">
            <v>18</v>
          </cell>
          <cell r="I3241">
            <v>624</v>
          </cell>
          <cell r="J3241">
            <v>50.392600000000002</v>
          </cell>
          <cell r="K3241">
            <v>132.88059999999999</v>
          </cell>
          <cell r="L3241" t="str">
            <v>合格</v>
          </cell>
          <cell r="M3241" t="str">
            <v>张慧</v>
          </cell>
          <cell r="N3241" t="str">
            <v>2019 01 29  04-19-16</v>
          </cell>
          <cell r="O3241" t="str">
            <v>FA SS 1-6K</v>
          </cell>
          <cell r="Q3241">
            <v>624</v>
          </cell>
          <cell r="R3241">
            <v>50.392600000000002</v>
          </cell>
        </row>
        <row r="3242">
          <cell r="E3242" t="str">
            <v>HFMET190128A0289-94-114</v>
          </cell>
          <cell r="F3242" t="str">
            <v>Meta 61，H08</v>
          </cell>
          <cell r="G3242">
            <v>18</v>
          </cell>
          <cell r="I3242">
            <v>632</v>
          </cell>
          <cell r="J3242">
            <v>46.490699999999997</v>
          </cell>
          <cell r="K3242">
            <v>121.02670000000001</v>
          </cell>
          <cell r="L3242" t="str">
            <v>合格</v>
          </cell>
          <cell r="M3242" t="str">
            <v>张慧</v>
          </cell>
          <cell r="N3242" t="str">
            <v>2019 01 29  05-30-50</v>
          </cell>
          <cell r="O3242" t="str">
            <v>FA SS 1-6K</v>
          </cell>
          <cell r="Q3242">
            <v>632</v>
          </cell>
          <cell r="R3242">
            <v>46.490699999999997</v>
          </cell>
        </row>
        <row r="3243">
          <cell r="E3243" t="str">
            <v>HFMET190128A0290-95-111</v>
          </cell>
          <cell r="F3243" t="str">
            <v>Meta 61，H09</v>
          </cell>
          <cell r="G3243">
            <v>18</v>
          </cell>
          <cell r="I3243">
            <v>621</v>
          </cell>
          <cell r="J3243">
            <v>30.383099999999999</v>
          </cell>
          <cell r="K3243">
            <v>80.5304</v>
          </cell>
          <cell r="L3243" t="str">
            <v>合格</v>
          </cell>
          <cell r="M3243" t="str">
            <v>张慧</v>
          </cell>
          <cell r="N3243" t="str">
            <v>2019 01 29  06-42-03</v>
          </cell>
          <cell r="O3243" t="str">
            <v>FA SS 1-6K</v>
          </cell>
          <cell r="Q3243">
            <v>621</v>
          </cell>
          <cell r="R3243">
            <v>30.383099999999999</v>
          </cell>
        </row>
        <row r="3244">
          <cell r="E3244" t="str">
            <v>HFMET190128A0291-95-112</v>
          </cell>
          <cell r="F3244" t="str">
            <v>Meta 61，H10</v>
          </cell>
          <cell r="G3244">
            <v>18</v>
          </cell>
          <cell r="I3244">
            <v>628</v>
          </cell>
          <cell r="J3244">
            <v>36.987200000000001</v>
          </cell>
          <cell r="K3244">
            <v>96.923900000000003</v>
          </cell>
          <cell r="L3244" t="str">
            <v>合格</v>
          </cell>
          <cell r="M3244" t="str">
            <v>张慧</v>
          </cell>
          <cell r="N3244" t="str">
            <v>2019 01 29  07-53-16</v>
          </cell>
          <cell r="O3244" t="str">
            <v>FA SS 1-6K</v>
          </cell>
          <cell r="Q3244">
            <v>628</v>
          </cell>
          <cell r="R3244">
            <v>36.987200000000001</v>
          </cell>
        </row>
        <row r="3245">
          <cell r="E3245" t="str">
            <v>HFMET190128A0292-95-113</v>
          </cell>
          <cell r="F3245" t="str">
            <v>Meta 61，H11</v>
          </cell>
          <cell r="G3245">
            <v>18</v>
          </cell>
          <cell r="I3245">
            <v>634</v>
          </cell>
          <cell r="J3245">
            <v>31.045500000000001</v>
          </cell>
          <cell r="K3245">
            <v>80.642099999999999</v>
          </cell>
          <cell r="L3245" t="str">
            <v>合格</v>
          </cell>
          <cell r="M3245" t="str">
            <v>张慧</v>
          </cell>
          <cell r="N3245" t="str">
            <v>2019 01 29  09-04-27</v>
          </cell>
          <cell r="O3245" t="str">
            <v>FA SS 1-6K</v>
          </cell>
          <cell r="Q3245">
            <v>634</v>
          </cell>
          <cell r="R3245">
            <v>31.045500000000001</v>
          </cell>
        </row>
        <row r="3246">
          <cell r="E3246" t="str">
            <v>HFMET190128A0293-95-114</v>
          </cell>
          <cell r="F3246" t="str">
            <v>Meta 61，H12</v>
          </cell>
          <cell r="G3246">
            <v>18</v>
          </cell>
          <cell r="I3246">
            <v>631</v>
          </cell>
          <cell r="J3246">
            <v>43.133800000000001</v>
          </cell>
          <cell r="K3246">
            <v>112.4798</v>
          </cell>
          <cell r="L3246" t="str">
            <v>合格</v>
          </cell>
          <cell r="M3246" t="str">
            <v>张慧</v>
          </cell>
          <cell r="N3246" t="str">
            <v>2019 01 29  10-15-40</v>
          </cell>
          <cell r="O3246" t="str">
            <v>FA SS 1-6K</v>
          </cell>
          <cell r="Q3246">
            <v>631</v>
          </cell>
          <cell r="R3246">
            <v>43.133800000000001</v>
          </cell>
        </row>
        <row r="3247">
          <cell r="E3247" t="str">
            <v>HFMET190128A0294-96-111</v>
          </cell>
          <cell r="F3247" t="str">
            <v>Meta 62，A01</v>
          </cell>
          <cell r="G3247">
            <v>18</v>
          </cell>
          <cell r="I3247">
            <v>626</v>
          </cell>
          <cell r="J3247">
            <v>32.597099999999998</v>
          </cell>
          <cell r="K3247">
            <v>85.689400000000006</v>
          </cell>
          <cell r="L3247" t="str">
            <v>合格</v>
          </cell>
          <cell r="M3247" t="str">
            <v>张慧</v>
          </cell>
          <cell r="N3247" t="str">
            <v>2019 01 29   11-26-52</v>
          </cell>
          <cell r="O3247" t="str">
            <v>FA SS 1-6K</v>
          </cell>
          <cell r="Q3247">
            <v>626</v>
          </cell>
          <cell r="R3247">
            <v>32.597099999999998</v>
          </cell>
        </row>
        <row r="3248">
          <cell r="E3248" t="str">
            <v>HFMET190128A0295-96-112</v>
          </cell>
          <cell r="F3248" t="str">
            <v>Meta 62，A02</v>
          </cell>
          <cell r="G3248">
            <v>18</v>
          </cell>
          <cell r="I3248">
            <v>630</v>
          </cell>
          <cell r="J3248">
            <v>23.956900000000001</v>
          </cell>
          <cell r="K3248">
            <v>62.588000000000001</v>
          </cell>
          <cell r="L3248" t="str">
            <v>合格</v>
          </cell>
          <cell r="M3248" t="str">
            <v>张慧</v>
          </cell>
          <cell r="N3248" t="str">
            <v>2019 01 29  12-38-03</v>
          </cell>
          <cell r="O3248" t="str">
            <v>FA SS 1-6K</v>
          </cell>
          <cell r="Q3248">
            <v>630</v>
          </cell>
          <cell r="R3248">
            <v>23.956900000000001</v>
          </cell>
        </row>
        <row r="3249">
          <cell r="E3249" t="str">
            <v>HFMET190128A0296-96-113</v>
          </cell>
          <cell r="F3249" t="str">
            <v>Meta 62，A03</v>
          </cell>
          <cell r="G3249">
            <v>18</v>
          </cell>
          <cell r="I3249">
            <v>636</v>
          </cell>
          <cell r="J3249">
            <v>30.425599999999999</v>
          </cell>
          <cell r="K3249">
            <v>78.716700000000003</v>
          </cell>
          <cell r="L3249" t="str">
            <v>合格</v>
          </cell>
          <cell r="M3249" t="str">
            <v>张慧</v>
          </cell>
          <cell r="N3249" t="str">
            <v>2019 01 29  14-54-20</v>
          </cell>
          <cell r="O3249" t="str">
            <v>FA SS 1-6K</v>
          </cell>
          <cell r="Q3249">
            <v>636</v>
          </cell>
          <cell r="R3249">
            <v>30.425599999999999</v>
          </cell>
        </row>
        <row r="3250">
          <cell r="E3250" t="str">
            <v>HFMET190128A0297-96-114</v>
          </cell>
          <cell r="F3250" t="str">
            <v>Meta 62，A04</v>
          </cell>
          <cell r="G3250">
            <v>18</v>
          </cell>
          <cell r="I3250">
            <v>635</v>
          </cell>
          <cell r="J3250">
            <v>28.441800000000001</v>
          </cell>
          <cell r="K3250">
            <v>73.701300000000003</v>
          </cell>
          <cell r="L3250" t="str">
            <v>合格</v>
          </cell>
          <cell r="M3250" t="str">
            <v>张慧</v>
          </cell>
          <cell r="N3250" t="str">
            <v>2019 01 29  14-54-20</v>
          </cell>
          <cell r="O3250" t="str">
            <v>FA SS 1-6K</v>
          </cell>
          <cell r="Q3250">
            <v>635</v>
          </cell>
          <cell r="R3250">
            <v>28.441800000000001</v>
          </cell>
        </row>
        <row r="3251">
          <cell r="E3251" t="str">
            <v>HFMET190128A0298-97-111</v>
          </cell>
          <cell r="F3251" t="str">
            <v>Meta 62，A05</v>
          </cell>
          <cell r="G3251">
            <v>18</v>
          </cell>
          <cell r="I3251">
            <v>631</v>
          </cell>
          <cell r="J3251">
            <v>38.429299999999998</v>
          </cell>
          <cell r="K3251">
            <v>100.15900000000001</v>
          </cell>
          <cell r="L3251" t="str">
            <v>合格</v>
          </cell>
          <cell r="M3251" t="str">
            <v>张慧</v>
          </cell>
          <cell r="N3251" t="str">
            <v>2019 01 29  14-54-20</v>
          </cell>
          <cell r="O3251" t="str">
            <v>FA SS 1-6K</v>
          </cell>
          <cell r="Q3251">
            <v>631</v>
          </cell>
          <cell r="R3251">
            <v>38.429299999999998</v>
          </cell>
        </row>
        <row r="3252">
          <cell r="E3252" t="str">
            <v>HFMET190128A0299-97-112</v>
          </cell>
          <cell r="F3252" t="str">
            <v>Meta 62，A06</v>
          </cell>
          <cell r="G3252">
            <v>18</v>
          </cell>
          <cell r="I3252">
            <v>635</v>
          </cell>
          <cell r="J3252">
            <v>28.216999999999999</v>
          </cell>
          <cell r="K3252">
            <v>73.177999999999997</v>
          </cell>
          <cell r="L3252" t="str">
            <v>合格</v>
          </cell>
          <cell r="M3252" t="str">
            <v>张慧</v>
          </cell>
          <cell r="N3252" t="str">
            <v>2019 01 29  14-54-20</v>
          </cell>
          <cell r="O3252" t="str">
            <v>FA SS 1-6K</v>
          </cell>
          <cell r="Q3252">
            <v>635</v>
          </cell>
          <cell r="R3252">
            <v>28.216999999999999</v>
          </cell>
        </row>
        <row r="3253">
          <cell r="E3253" t="str">
            <v>HFMET190128A0300-97-113</v>
          </cell>
          <cell r="F3253" t="str">
            <v>Meta 62，A07</v>
          </cell>
          <cell r="G3253">
            <v>18</v>
          </cell>
          <cell r="I3253">
            <v>639</v>
          </cell>
          <cell r="J3253">
            <v>28.064900000000002</v>
          </cell>
          <cell r="K3253">
            <v>72.281300000000002</v>
          </cell>
          <cell r="L3253" t="str">
            <v>合格</v>
          </cell>
          <cell r="M3253" t="str">
            <v>张慧</v>
          </cell>
          <cell r="N3253" t="str">
            <v>2019 01 29  14-54-20</v>
          </cell>
          <cell r="O3253" t="str">
            <v>FA SS 1-6K</v>
          </cell>
          <cell r="Q3253">
            <v>639</v>
          </cell>
          <cell r="R3253">
            <v>28.064900000000002</v>
          </cell>
        </row>
        <row r="3254">
          <cell r="E3254" t="str">
            <v>HFMET190128A0301-97-114</v>
          </cell>
          <cell r="F3254" t="str">
            <v>Meta 62，A08</v>
          </cell>
          <cell r="G3254">
            <v>18</v>
          </cell>
          <cell r="I3254">
            <v>636</v>
          </cell>
          <cell r="J3254">
            <v>25.957599999999999</v>
          </cell>
          <cell r="K3254">
            <v>67.176000000000002</v>
          </cell>
          <cell r="L3254" t="str">
            <v>合格</v>
          </cell>
          <cell r="M3254" t="str">
            <v>张慧</v>
          </cell>
          <cell r="N3254" t="str">
            <v>2019 01 29  14-54-20</v>
          </cell>
          <cell r="O3254" t="str">
            <v>FA SS 1-6K</v>
          </cell>
          <cell r="Q3254">
            <v>636</v>
          </cell>
          <cell r="R3254">
            <v>25.957599999999999</v>
          </cell>
        </row>
        <row r="3255">
          <cell r="E3255" t="str">
            <v>HFMET190128A0302-98-111</v>
          </cell>
          <cell r="F3255" t="str">
            <v>Meta 62，A09</v>
          </cell>
          <cell r="G3255">
            <v>18</v>
          </cell>
          <cell r="I3255">
            <v>632</v>
          </cell>
          <cell r="J3255">
            <v>24.4969</v>
          </cell>
          <cell r="K3255">
            <v>63.767499999999998</v>
          </cell>
          <cell r="L3255" t="str">
            <v>合格</v>
          </cell>
          <cell r="M3255" t="str">
            <v>张慧</v>
          </cell>
          <cell r="N3255" t="str">
            <v>2019 01 29  14-54-20</v>
          </cell>
          <cell r="O3255" t="str">
            <v>FA SS 1-6K</v>
          </cell>
          <cell r="Q3255">
            <v>632</v>
          </cell>
          <cell r="R3255">
            <v>24.4969</v>
          </cell>
        </row>
        <row r="3256">
          <cell r="E3256" t="str">
            <v>HFMET190128A0303-98-112</v>
          </cell>
          <cell r="F3256" t="str">
            <v>Meta 62，A10</v>
          </cell>
          <cell r="G3256">
            <v>18</v>
          </cell>
          <cell r="I3256">
            <v>640</v>
          </cell>
          <cell r="J3256">
            <v>23.593800000000002</v>
          </cell>
          <cell r="K3256">
            <v>60.6218</v>
          </cell>
          <cell r="L3256" t="str">
            <v>合格</v>
          </cell>
          <cell r="M3256" t="str">
            <v>张慧</v>
          </cell>
          <cell r="N3256" t="str">
            <v>2019 01 29  14-54-20</v>
          </cell>
          <cell r="O3256" t="str">
            <v>FA SS 1-6K</v>
          </cell>
          <cell r="Q3256">
            <v>640</v>
          </cell>
          <cell r="R3256">
            <v>23.593800000000002</v>
          </cell>
        </row>
        <row r="3257">
          <cell r="E3257" t="str">
            <v>HFMET190128A0304-98-113</v>
          </cell>
          <cell r="F3257" t="str">
            <v>Meta 62，A11</v>
          </cell>
          <cell r="G3257">
            <v>18</v>
          </cell>
          <cell r="I3257">
            <v>632</v>
          </cell>
          <cell r="J3257">
            <v>0.13059999999999999</v>
          </cell>
          <cell r="K3257">
            <v>0.3402</v>
          </cell>
          <cell r="L3257" t="str">
            <v>合格</v>
          </cell>
          <cell r="M3257" t="str">
            <v>张慧</v>
          </cell>
          <cell r="N3257" t="str">
            <v>2019 01 29  14-54-20</v>
          </cell>
          <cell r="O3257" t="str">
            <v>FA SS 1-6K</v>
          </cell>
          <cell r="Q3257">
            <v>632</v>
          </cell>
          <cell r="R3257">
            <v>0.13059999999999999</v>
          </cell>
        </row>
        <row r="3258">
          <cell r="E3258" t="str">
            <v>HFMET190128A0305-98-114</v>
          </cell>
          <cell r="F3258" t="str">
            <v>Meta 62，A12</v>
          </cell>
          <cell r="G3258">
            <v>18</v>
          </cell>
          <cell r="I3258">
            <v>651</v>
          </cell>
          <cell r="J3258">
            <v>4.5199999999999997E-2</v>
          </cell>
          <cell r="K3258">
            <v>0.1143</v>
          </cell>
          <cell r="L3258" t="str">
            <v>合格</v>
          </cell>
          <cell r="M3258" t="str">
            <v>张慧</v>
          </cell>
          <cell r="N3258" t="str">
            <v>2019 01 29  14-54-20</v>
          </cell>
          <cell r="O3258" t="str">
            <v>FA SS 1-6K</v>
          </cell>
          <cell r="Q3258">
            <v>651</v>
          </cell>
          <cell r="R3258">
            <v>4.5199999999999997E-2</v>
          </cell>
        </row>
        <row r="3259">
          <cell r="E3259" t="str">
            <v>HFMET190128A0306-108-114</v>
          </cell>
          <cell r="F3259" t="str">
            <v>Meta 62，B01</v>
          </cell>
          <cell r="G3259">
            <v>18</v>
          </cell>
          <cell r="I3259" t="str">
            <v>NaN</v>
          </cell>
          <cell r="J3259">
            <v>0</v>
          </cell>
          <cell r="K3259" t="str">
            <v>NaN</v>
          </cell>
          <cell r="L3259" t="str">
            <v>合格</v>
          </cell>
          <cell r="M3259" t="str">
            <v>张慧</v>
          </cell>
          <cell r="N3259" t="str">
            <v>2019 01 29  14-54-20</v>
          </cell>
          <cell r="O3259" t="str">
            <v>FA SS 1-6K</v>
          </cell>
          <cell r="Q3259" t="str">
            <v>NaN</v>
          </cell>
          <cell r="R3259">
            <v>0</v>
          </cell>
        </row>
        <row r="3261">
          <cell r="E3261" t="str">
            <v>HFMET190128A0307-99-111</v>
          </cell>
          <cell r="F3261" t="str">
            <v>Meta 62，B02</v>
          </cell>
          <cell r="G3261">
            <v>18</v>
          </cell>
          <cell r="I3261">
            <v>601</v>
          </cell>
          <cell r="J3261">
            <v>0.2107</v>
          </cell>
          <cell r="K3261">
            <v>0.57669999999999999</v>
          </cell>
          <cell r="Q3261">
            <v>601</v>
          </cell>
          <cell r="R3261">
            <v>0.2107</v>
          </cell>
        </row>
        <row r="3262">
          <cell r="E3262" t="str">
            <v>HFMET190128A0308-99-112</v>
          </cell>
          <cell r="F3262" t="str">
            <v>Meta 62，B03</v>
          </cell>
          <cell r="G3262">
            <v>18</v>
          </cell>
          <cell r="I3262">
            <v>633</v>
          </cell>
          <cell r="J3262">
            <v>21.712800000000001</v>
          </cell>
          <cell r="K3262">
            <v>56.417000000000002</v>
          </cell>
          <cell r="L3262" t="str">
            <v>合格</v>
          </cell>
          <cell r="M3262" t="str">
            <v>张慧</v>
          </cell>
          <cell r="N3262" t="str">
            <v>2019 01 28 22-09-09</v>
          </cell>
          <cell r="O3262" t="str">
            <v>FA SS 1-6K</v>
          </cell>
          <cell r="Q3262">
            <v>633</v>
          </cell>
          <cell r="R3262">
            <v>21.712800000000001</v>
          </cell>
        </row>
        <row r="3263">
          <cell r="E3263" t="str">
            <v>HFMET190128A0309-99-113</v>
          </cell>
          <cell r="F3263" t="str">
            <v>Meta 62，B04</v>
          </cell>
          <cell r="G3263">
            <v>18</v>
          </cell>
          <cell r="I3263">
            <v>632</v>
          </cell>
          <cell r="J3263">
            <v>30.815100000000001</v>
          </cell>
          <cell r="K3263">
            <v>80.302700000000002</v>
          </cell>
          <cell r="L3263" t="str">
            <v>合格</v>
          </cell>
          <cell r="M3263" t="str">
            <v>张慧</v>
          </cell>
          <cell r="N3263" t="str">
            <v>2019 01 28 22-09-09</v>
          </cell>
          <cell r="O3263" t="str">
            <v>FA SS 1-6K</v>
          </cell>
          <cell r="Q3263">
            <v>632</v>
          </cell>
          <cell r="R3263">
            <v>30.815100000000001</v>
          </cell>
        </row>
        <row r="3264">
          <cell r="E3264" t="str">
            <v>HFMET190128A0310-99-114</v>
          </cell>
          <cell r="F3264" t="str">
            <v>Meta 62，B05</v>
          </cell>
          <cell r="G3264">
            <v>18</v>
          </cell>
          <cell r="I3264">
            <v>643</v>
          </cell>
          <cell r="J3264">
            <v>29.753299999999999</v>
          </cell>
          <cell r="K3264">
            <v>76.161900000000003</v>
          </cell>
          <cell r="L3264" t="str">
            <v>合格</v>
          </cell>
          <cell r="M3264" t="str">
            <v>张慧</v>
          </cell>
          <cell r="N3264" t="str">
            <v>2019 01 28 22-09-09</v>
          </cell>
          <cell r="O3264" t="str">
            <v>FA SS 1-6K</v>
          </cell>
          <cell r="Q3264">
            <v>643</v>
          </cell>
          <cell r="R3264">
            <v>29.753299999999999</v>
          </cell>
        </row>
        <row r="3265">
          <cell r="E3265" t="str">
            <v>HFMET190128A0311-100-111</v>
          </cell>
          <cell r="F3265" t="str">
            <v>Meta 62，B06</v>
          </cell>
          <cell r="G3265">
            <v>18</v>
          </cell>
          <cell r="I3265">
            <v>647</v>
          </cell>
          <cell r="J3265">
            <v>26.645299999999999</v>
          </cell>
          <cell r="K3265">
            <v>67.753100000000003</v>
          </cell>
          <cell r="L3265" t="str">
            <v>合格</v>
          </cell>
          <cell r="M3265" t="str">
            <v>张慧</v>
          </cell>
          <cell r="N3265" t="str">
            <v>2019 01 29  16-05-59</v>
          </cell>
          <cell r="O3265" t="str">
            <v>FA SS 1-6K</v>
          </cell>
          <cell r="Q3265">
            <v>647</v>
          </cell>
          <cell r="R3265">
            <v>26.645299999999999</v>
          </cell>
        </row>
        <row r="3266">
          <cell r="E3266" t="str">
            <v>HFMET190128A0312-100-112</v>
          </cell>
          <cell r="F3266" t="str">
            <v>MetB 62，B07</v>
          </cell>
          <cell r="G3266">
            <v>18</v>
          </cell>
          <cell r="I3266">
            <v>646</v>
          </cell>
          <cell r="J3266">
            <v>31.0107</v>
          </cell>
          <cell r="K3266">
            <v>78.988799999999998</v>
          </cell>
          <cell r="L3266" t="str">
            <v>合格</v>
          </cell>
          <cell r="M3266" t="str">
            <v>张慧</v>
          </cell>
          <cell r="N3266" t="str">
            <v>2019 01 28 23-20-00</v>
          </cell>
          <cell r="O3266" t="str">
            <v>FA SS 1-6K</v>
          </cell>
          <cell r="Q3266">
            <v>646</v>
          </cell>
          <cell r="R3266">
            <v>31.0107</v>
          </cell>
        </row>
        <row r="3267">
          <cell r="E3267" t="str">
            <v>HFMET190128A0313-100-113</v>
          </cell>
          <cell r="F3267" t="str">
            <v>MetB 62，B08</v>
          </cell>
          <cell r="G3267">
            <v>18</v>
          </cell>
          <cell r="I3267">
            <v>641</v>
          </cell>
          <cell r="J3267">
            <v>32.221800000000002</v>
          </cell>
          <cell r="K3267">
            <v>82.708600000000004</v>
          </cell>
          <cell r="L3267" t="str">
            <v>合格</v>
          </cell>
          <cell r="M3267" t="str">
            <v>张慧</v>
          </cell>
          <cell r="N3267" t="str">
            <v>2019 01 28 23-20-00</v>
          </cell>
          <cell r="O3267" t="str">
            <v>FA SS 1-6K</v>
          </cell>
          <cell r="Q3267">
            <v>640</v>
          </cell>
          <cell r="R3267">
            <v>30.7912</v>
          </cell>
        </row>
        <row r="3268">
          <cell r="E3268" t="str">
            <v>HFMET190128A0314-100-114</v>
          </cell>
          <cell r="F3268" t="str">
            <v>MetB 62，B09</v>
          </cell>
          <cell r="G3268">
            <v>18</v>
          </cell>
          <cell r="I3268">
            <v>650</v>
          </cell>
          <cell r="J3268">
            <v>27.650300000000001</v>
          </cell>
          <cell r="K3268">
            <v>69.953500000000005</v>
          </cell>
          <cell r="L3268" t="str">
            <v>合格</v>
          </cell>
          <cell r="M3268" t="str">
            <v>张慧</v>
          </cell>
          <cell r="N3268" t="str">
            <v>2019 01 28 23-20-00</v>
          </cell>
          <cell r="O3268" t="str">
            <v>FA SS 1-6K</v>
          </cell>
          <cell r="Q3268">
            <v>650</v>
          </cell>
          <cell r="R3268">
            <v>27.650300000000001</v>
          </cell>
        </row>
        <row r="3269">
          <cell r="E3269" t="str">
            <v>HFMET190128A0315-101-111</v>
          </cell>
          <cell r="F3269" t="str">
            <v>MetB 62，B10</v>
          </cell>
          <cell r="G3269">
            <v>18</v>
          </cell>
          <cell r="I3269">
            <v>640</v>
          </cell>
          <cell r="J3269">
            <v>21.252500000000001</v>
          </cell>
          <cell r="K3269">
            <v>54.654000000000003</v>
          </cell>
          <cell r="L3269" t="str">
            <v>合格</v>
          </cell>
          <cell r="M3269" t="str">
            <v>张慧</v>
          </cell>
          <cell r="N3269" t="str">
            <v>2019 01 28 23-20-00</v>
          </cell>
          <cell r="O3269" t="str">
            <v>FA SS 1-6K</v>
          </cell>
          <cell r="Q3269">
            <v>640</v>
          </cell>
          <cell r="R3269">
            <v>21.252500000000001</v>
          </cell>
        </row>
        <row r="3270">
          <cell r="E3270" t="str">
            <v>HFMET190128A0316-101-112</v>
          </cell>
          <cell r="F3270" t="str">
            <v>MetB 62，B11</v>
          </cell>
          <cell r="G3270">
            <v>18</v>
          </cell>
          <cell r="I3270">
            <v>637</v>
          </cell>
          <cell r="J3270">
            <v>15.170299999999999</v>
          </cell>
          <cell r="K3270">
            <v>39.1873</v>
          </cell>
          <cell r="L3270" t="str">
            <v>合格</v>
          </cell>
          <cell r="M3270" t="str">
            <v>张慧</v>
          </cell>
          <cell r="N3270" t="str">
            <v>2019 01 28 23-20-00</v>
          </cell>
          <cell r="O3270" t="str">
            <v>FA SS 1-6K</v>
          </cell>
          <cell r="Q3270">
            <v>637</v>
          </cell>
          <cell r="R3270">
            <v>15.170299999999999</v>
          </cell>
        </row>
        <row r="3271">
          <cell r="E3271" t="str">
            <v>HFMET190128A0317-101-113</v>
          </cell>
          <cell r="F3271" t="str">
            <v>MetB 62，B12</v>
          </cell>
          <cell r="G3271">
            <v>18</v>
          </cell>
          <cell r="I3271">
            <v>635</v>
          </cell>
          <cell r="J3271">
            <v>23.286200000000001</v>
          </cell>
          <cell r="K3271">
            <v>60.325699999999998</v>
          </cell>
          <cell r="L3271" t="str">
            <v>合格</v>
          </cell>
          <cell r="M3271" t="str">
            <v>张慧</v>
          </cell>
          <cell r="N3271" t="str">
            <v>2019 01 28 23-20-00</v>
          </cell>
          <cell r="O3271" t="str">
            <v>FA SS 1-6K</v>
          </cell>
          <cell r="Q3271">
            <v>635</v>
          </cell>
          <cell r="R3271">
            <v>23.286200000000001</v>
          </cell>
        </row>
        <row r="3272">
          <cell r="E3272" t="str">
            <v>HFMET190128A0318-101-114</v>
          </cell>
          <cell r="F3272" t="str">
            <v>Meta 62，C01</v>
          </cell>
          <cell r="G3272">
            <v>18</v>
          </cell>
          <cell r="I3272">
            <v>640</v>
          </cell>
          <cell r="J3272">
            <v>16.723099999999999</v>
          </cell>
          <cell r="K3272">
            <v>43.000900000000001</v>
          </cell>
          <cell r="L3272" t="str">
            <v>合格</v>
          </cell>
          <cell r="M3272" t="str">
            <v>张慧</v>
          </cell>
          <cell r="N3272" t="str">
            <v>2019 01 28 23-20-00</v>
          </cell>
          <cell r="O3272" t="str">
            <v>FA SS 1-6K</v>
          </cell>
          <cell r="Q3272">
            <v>640</v>
          </cell>
          <cell r="R3272">
            <v>16.723099999999999</v>
          </cell>
        </row>
        <row r="3273">
          <cell r="E3273" t="str">
            <v>HFMET190128A0319-102-111</v>
          </cell>
          <cell r="F3273" t="str">
            <v>Meta 62，C02</v>
          </cell>
          <cell r="G3273">
            <v>18</v>
          </cell>
          <cell r="I3273">
            <v>636</v>
          </cell>
          <cell r="J3273">
            <v>17.801600000000001</v>
          </cell>
          <cell r="K3273">
            <v>46.042700000000004</v>
          </cell>
          <cell r="L3273" t="str">
            <v>合格</v>
          </cell>
          <cell r="M3273" t="str">
            <v>张慧</v>
          </cell>
          <cell r="N3273" t="str">
            <v>2019 01 28 23-20-00</v>
          </cell>
          <cell r="O3273" t="str">
            <v>FA SS 1-6K</v>
          </cell>
          <cell r="Q3273">
            <v>636</v>
          </cell>
          <cell r="R3273">
            <v>17.801600000000001</v>
          </cell>
        </row>
        <row r="3274">
          <cell r="E3274" t="str">
            <v>HFMET190128A0320-102-112</v>
          </cell>
          <cell r="F3274" t="str">
            <v>Meta 62，C03</v>
          </cell>
          <cell r="G3274">
            <v>18</v>
          </cell>
          <cell r="I3274">
            <v>633</v>
          </cell>
          <cell r="J3274">
            <v>21.1234</v>
          </cell>
          <cell r="K3274">
            <v>54.934100000000001</v>
          </cell>
          <cell r="L3274" t="str">
            <v>合格</v>
          </cell>
          <cell r="M3274" t="str">
            <v>张慧</v>
          </cell>
          <cell r="N3274" t="str">
            <v>2019 01 28 23-20-00</v>
          </cell>
          <cell r="O3274" t="str">
            <v>FA SS 1-6K</v>
          </cell>
          <cell r="Q3274">
            <v>633</v>
          </cell>
          <cell r="R3274">
            <v>21.1234</v>
          </cell>
        </row>
        <row r="3275">
          <cell r="E3275" t="str">
            <v>HFMET190128A0321-102-113</v>
          </cell>
          <cell r="F3275" t="str">
            <v>Meta 62，C04</v>
          </cell>
          <cell r="G3275">
            <v>18</v>
          </cell>
          <cell r="I3275">
            <v>639</v>
          </cell>
          <cell r="J3275">
            <v>25.2288</v>
          </cell>
          <cell r="K3275">
            <v>64.955399999999997</v>
          </cell>
          <cell r="L3275" t="str">
            <v>合格</v>
          </cell>
          <cell r="M3275" t="str">
            <v>张慧</v>
          </cell>
          <cell r="N3275" t="str">
            <v>2019 01 28 23-20-00</v>
          </cell>
          <cell r="O3275" t="str">
            <v>FA SS 1-6K</v>
          </cell>
          <cell r="Q3275">
            <v>639</v>
          </cell>
          <cell r="R3275">
            <v>25.2288</v>
          </cell>
        </row>
        <row r="3276">
          <cell r="E3276" t="str">
            <v>HFMET190128A0322-102-114</v>
          </cell>
          <cell r="F3276" t="str">
            <v>Meta 62，C05</v>
          </cell>
          <cell r="G3276">
            <v>18</v>
          </cell>
          <cell r="I3276">
            <v>644</v>
          </cell>
          <cell r="J3276">
            <v>22.185400000000001</v>
          </cell>
          <cell r="K3276">
            <v>56.699100000000001</v>
          </cell>
          <cell r="L3276" t="str">
            <v>合格</v>
          </cell>
          <cell r="M3276" t="str">
            <v>张慧</v>
          </cell>
          <cell r="N3276" t="str">
            <v>2019 01 29  16-05-59</v>
          </cell>
          <cell r="O3276" t="str">
            <v>FA SS 1-6K</v>
          </cell>
          <cell r="Q3276">
            <v>644</v>
          </cell>
          <cell r="R3276">
            <v>22.185400000000001</v>
          </cell>
        </row>
        <row r="3277">
          <cell r="E3277" t="str">
            <v>HFMET190128A0323-103-111</v>
          </cell>
          <cell r="F3277" t="str">
            <v>Meta 62，C06</v>
          </cell>
          <cell r="G3277">
            <v>18</v>
          </cell>
          <cell r="I3277">
            <v>636</v>
          </cell>
          <cell r="J3277">
            <v>19.628799999999998</v>
          </cell>
          <cell r="K3277">
            <v>50.783099999999997</v>
          </cell>
          <cell r="L3277" t="str">
            <v>合格</v>
          </cell>
          <cell r="M3277" t="str">
            <v>张慧</v>
          </cell>
          <cell r="N3277" t="str">
            <v>2019 01 29 00-31-28</v>
          </cell>
          <cell r="O3277" t="str">
            <v>FA SS 1-6K</v>
          </cell>
          <cell r="Q3277">
            <v>636</v>
          </cell>
          <cell r="R3277">
            <v>19.628799999999998</v>
          </cell>
        </row>
        <row r="3278">
          <cell r="E3278" t="str">
            <v>HFMET190128A0324-103-112</v>
          </cell>
          <cell r="F3278" t="str">
            <v>Meta 62，C07</v>
          </cell>
          <cell r="G3278">
            <v>18</v>
          </cell>
          <cell r="I3278">
            <v>640</v>
          </cell>
          <cell r="J3278">
            <v>18.960899999999999</v>
          </cell>
          <cell r="K3278">
            <v>48.759500000000003</v>
          </cell>
          <cell r="L3278" t="str">
            <v>合格</v>
          </cell>
          <cell r="M3278" t="str">
            <v>张慧</v>
          </cell>
          <cell r="N3278" t="str">
            <v>2019 01 29  22-16-20</v>
          </cell>
          <cell r="O3278" t="str">
            <v>FA-6K(SS)</v>
          </cell>
          <cell r="Q3278">
            <v>640</v>
          </cell>
          <cell r="R3278">
            <v>18.960899999999999</v>
          </cell>
        </row>
        <row r="3279">
          <cell r="E3279" t="str">
            <v>HFMET190128A0325-103-113</v>
          </cell>
          <cell r="F3279" t="str">
            <v>Meta 62，C08</v>
          </cell>
          <cell r="G3279">
            <v>18</v>
          </cell>
          <cell r="I3279">
            <v>638</v>
          </cell>
          <cell r="J3279">
            <v>22.5702</v>
          </cell>
          <cell r="K3279">
            <v>58.213299999999997</v>
          </cell>
          <cell r="L3279" t="str">
            <v>合格</v>
          </cell>
          <cell r="M3279" t="str">
            <v>张慧</v>
          </cell>
          <cell r="N3279" t="str">
            <v>2019 01 29 00-31-28</v>
          </cell>
          <cell r="O3279" t="str">
            <v>FA SS 1-6K</v>
          </cell>
          <cell r="Q3279">
            <v>638</v>
          </cell>
          <cell r="R3279">
            <v>22.5702</v>
          </cell>
        </row>
        <row r="3280">
          <cell r="E3280" t="str">
            <v>HFMET190128A0326-103-114</v>
          </cell>
          <cell r="F3280" t="str">
            <v>Meta 62，C09</v>
          </cell>
          <cell r="G3280">
            <v>18</v>
          </cell>
          <cell r="I3280">
            <v>644</v>
          </cell>
          <cell r="J3280">
            <v>22.937799999999999</v>
          </cell>
          <cell r="K3280">
            <v>58.645099999999999</v>
          </cell>
          <cell r="L3280" t="str">
            <v>合格</v>
          </cell>
          <cell r="M3280" t="str">
            <v>张慧</v>
          </cell>
          <cell r="N3280" t="str">
            <v>2019 01 29 00-31-28</v>
          </cell>
          <cell r="O3280" t="str">
            <v>FA SS 1-6K</v>
          </cell>
          <cell r="Q3280">
            <v>644</v>
          </cell>
          <cell r="R3280">
            <v>22.937799999999999</v>
          </cell>
        </row>
        <row r="3281">
          <cell r="E3281" t="str">
            <v>HFMET190128A0327-104-111</v>
          </cell>
          <cell r="F3281" t="str">
            <v>Meta 62，C10</v>
          </cell>
          <cell r="G3281">
            <v>18</v>
          </cell>
          <cell r="I3281">
            <v>638</v>
          </cell>
          <cell r="J3281">
            <v>19.3185</v>
          </cell>
          <cell r="K3281">
            <v>49.851300000000002</v>
          </cell>
          <cell r="L3281" t="str">
            <v>合格</v>
          </cell>
          <cell r="M3281" t="str">
            <v>张慧</v>
          </cell>
          <cell r="N3281" t="str">
            <v>2019 01 29 00-31-28</v>
          </cell>
          <cell r="O3281" t="str">
            <v>FA SS 1-6K</v>
          </cell>
          <cell r="Q3281">
            <v>638</v>
          </cell>
          <cell r="R3281">
            <v>19.3185</v>
          </cell>
        </row>
        <row r="3282">
          <cell r="E3282" t="str">
            <v>HFMET190128A0328-104-112</v>
          </cell>
          <cell r="F3282" t="str">
            <v>Meta 62，C11</v>
          </cell>
          <cell r="G3282">
            <v>18</v>
          </cell>
          <cell r="I3282">
            <v>639</v>
          </cell>
          <cell r="J3282">
            <v>15.6976</v>
          </cell>
          <cell r="K3282">
            <v>40.427500000000002</v>
          </cell>
          <cell r="L3282" t="str">
            <v>合格</v>
          </cell>
          <cell r="M3282" t="str">
            <v>张慧</v>
          </cell>
          <cell r="N3282" t="str">
            <v>2019 01 29 00-31-28</v>
          </cell>
          <cell r="O3282" t="str">
            <v>FA SS 1-6K</v>
          </cell>
          <cell r="Q3282">
            <v>639</v>
          </cell>
          <cell r="R3282">
            <v>15.6976</v>
          </cell>
        </row>
        <row r="3283">
          <cell r="E3283" t="str">
            <v>HFMET190128A0329-104-116</v>
          </cell>
          <cell r="F3283" t="str">
            <v>Meta 62，C12</v>
          </cell>
          <cell r="G3283">
            <v>18</v>
          </cell>
          <cell r="I3283">
            <v>641</v>
          </cell>
          <cell r="J3283">
            <v>15.764699999999999</v>
          </cell>
          <cell r="K3283">
            <v>40.505400000000002</v>
          </cell>
          <cell r="L3283" t="str">
            <v>合格</v>
          </cell>
          <cell r="M3283" t="str">
            <v>张慧</v>
          </cell>
          <cell r="N3283" t="str">
            <v>2019 01 29 00-31-28</v>
          </cell>
          <cell r="O3283" t="str">
            <v>FA SS 1-6K</v>
          </cell>
          <cell r="Q3283">
            <v>641</v>
          </cell>
          <cell r="R3283">
            <v>15.764699999999999</v>
          </cell>
        </row>
        <row r="3284">
          <cell r="E3284" t="str">
            <v>HFMET190128A0330-104-114</v>
          </cell>
          <cell r="F3284" t="str">
            <v>Meta 62，D01</v>
          </cell>
          <cell r="G3284">
            <v>18</v>
          </cell>
          <cell r="I3284">
            <v>643</v>
          </cell>
          <cell r="J3284">
            <v>6.6345000000000001</v>
          </cell>
          <cell r="K3284">
            <v>16.9925</v>
          </cell>
          <cell r="M3284" t="str">
            <v>张慧</v>
          </cell>
          <cell r="N3284" t="str">
            <v>2019 01 29 00-31-28</v>
          </cell>
          <cell r="O3284" t="str">
            <v>FA SS 1-6K</v>
          </cell>
          <cell r="Q3284">
            <v>643</v>
          </cell>
          <cell r="R3284">
            <v>6.6345000000000001</v>
          </cell>
        </row>
        <row r="3285">
          <cell r="E3285" t="str">
            <v>HFMET190128A0331-105-111</v>
          </cell>
          <cell r="F3285" t="str">
            <v>Meta 62，D02</v>
          </cell>
          <cell r="G3285">
            <v>18</v>
          </cell>
          <cell r="I3285">
            <v>625</v>
          </cell>
          <cell r="J3285">
            <v>22.0639</v>
          </cell>
          <cell r="K3285">
            <v>58.138800000000003</v>
          </cell>
          <cell r="L3285" t="str">
            <v>合格</v>
          </cell>
          <cell r="M3285" t="str">
            <v>张慧</v>
          </cell>
          <cell r="N3285" t="str">
            <v>2019 01 29 00-31-28</v>
          </cell>
          <cell r="O3285" t="str">
            <v>FA SS 1-6K</v>
          </cell>
          <cell r="Q3285">
            <v>625</v>
          </cell>
          <cell r="R3285">
            <v>22.0639</v>
          </cell>
        </row>
        <row r="3286">
          <cell r="E3286" t="str">
            <v>HFMET190128A0332-105-112</v>
          </cell>
          <cell r="F3286" t="str">
            <v>Meta 62，D03</v>
          </cell>
          <cell r="G3286">
            <v>18</v>
          </cell>
          <cell r="I3286">
            <v>629</v>
          </cell>
          <cell r="J3286">
            <v>26.180099999999999</v>
          </cell>
          <cell r="K3286">
            <v>68.534899999999993</v>
          </cell>
          <cell r="L3286" t="str">
            <v>合格</v>
          </cell>
          <cell r="M3286" t="str">
            <v>张慧</v>
          </cell>
          <cell r="N3286" t="str">
            <v>2019 01 29 00-31-28</v>
          </cell>
          <cell r="O3286" t="str">
            <v>FA SS 1-6K</v>
          </cell>
          <cell r="Q3286">
            <v>629</v>
          </cell>
          <cell r="R3286">
            <v>26.180099999999999</v>
          </cell>
        </row>
        <row r="3287">
          <cell r="E3287" t="str">
            <v>HFMET190128A0333-105-116</v>
          </cell>
          <cell r="F3287" t="str">
            <v>Meta 62，D04</v>
          </cell>
          <cell r="G3287">
            <v>18</v>
          </cell>
          <cell r="I3287">
            <v>643</v>
          </cell>
          <cell r="J3287">
            <v>19.541799999999999</v>
          </cell>
          <cell r="K3287">
            <v>49.991900000000001</v>
          </cell>
          <cell r="L3287" t="str">
            <v>合格</v>
          </cell>
          <cell r="M3287" t="str">
            <v>张慧</v>
          </cell>
          <cell r="N3287" t="str">
            <v>2019 01 29  16-05-59</v>
          </cell>
          <cell r="O3287" t="str">
            <v>FA SS 1-6K</v>
          </cell>
          <cell r="Q3287">
            <v>643</v>
          </cell>
          <cell r="R3287">
            <v>19.541799999999999</v>
          </cell>
        </row>
        <row r="3288">
          <cell r="E3288" t="str">
            <v>HFMET190128A0334-105-114</v>
          </cell>
          <cell r="F3288" t="str">
            <v>Meta 62，D05</v>
          </cell>
          <cell r="G3288">
            <v>18</v>
          </cell>
          <cell r="I3288">
            <v>635</v>
          </cell>
          <cell r="J3288">
            <v>28.2422</v>
          </cell>
          <cell r="K3288">
            <v>73.230099999999993</v>
          </cell>
          <cell r="L3288" t="str">
            <v>合格</v>
          </cell>
          <cell r="M3288" t="str">
            <v>张慧</v>
          </cell>
          <cell r="N3288" t="str">
            <v>2019 01 29 01-42-39</v>
          </cell>
          <cell r="O3288" t="str">
            <v>FA SS 1-6K</v>
          </cell>
          <cell r="Q3288">
            <v>635</v>
          </cell>
          <cell r="R3288">
            <v>28.2422</v>
          </cell>
        </row>
        <row r="3289">
          <cell r="E3289" t="str">
            <v>HFMET190128A0335-106-111</v>
          </cell>
          <cell r="F3289" t="str">
            <v>Meta 62，D06</v>
          </cell>
          <cell r="G3289">
            <v>18</v>
          </cell>
          <cell r="I3289">
            <v>626</v>
          </cell>
          <cell r="J3289">
            <v>18.2834</v>
          </cell>
          <cell r="K3289">
            <v>48.058399999999999</v>
          </cell>
          <cell r="L3289" t="str">
            <v>合格</v>
          </cell>
          <cell r="M3289" t="str">
            <v>张慧</v>
          </cell>
          <cell r="N3289" t="str">
            <v>2019 01 29  22-16-20</v>
          </cell>
          <cell r="O3289" t="str">
            <v>FA-6K(SS)</v>
          </cell>
          <cell r="Q3289">
            <v>626</v>
          </cell>
          <cell r="R3289">
            <v>18.2834</v>
          </cell>
        </row>
        <row r="3290">
          <cell r="E3290" t="str">
            <v>HFMET190128A0336-106-116</v>
          </cell>
          <cell r="F3290" t="str">
            <v>Meta 62，D07</v>
          </cell>
          <cell r="G3290">
            <v>18</v>
          </cell>
          <cell r="I3290">
            <v>634</v>
          </cell>
          <cell r="J3290">
            <v>22.769500000000001</v>
          </cell>
          <cell r="K3290">
            <v>59.100999999999999</v>
          </cell>
          <cell r="L3290" t="str">
            <v>合格</v>
          </cell>
          <cell r="M3290" t="str">
            <v>张慧</v>
          </cell>
          <cell r="N3290" t="str">
            <v>2019 01 29 01-42-39</v>
          </cell>
          <cell r="O3290" t="str">
            <v>FA SS 1-6K</v>
          </cell>
          <cell r="Q3290">
            <v>634</v>
          </cell>
          <cell r="R3290">
            <v>22.769500000000001</v>
          </cell>
        </row>
        <row r="3291">
          <cell r="E3291" t="str">
            <v>HFMET190128A0337-106-114</v>
          </cell>
          <cell r="F3291" t="str">
            <v>Meta 62，D08</v>
          </cell>
          <cell r="G3291">
            <v>18</v>
          </cell>
          <cell r="I3291">
            <v>638</v>
          </cell>
          <cell r="J3291">
            <v>22.258600000000001</v>
          </cell>
          <cell r="K3291">
            <v>57.417900000000003</v>
          </cell>
          <cell r="L3291" t="str">
            <v>合格</v>
          </cell>
          <cell r="M3291" t="str">
            <v>张慧</v>
          </cell>
          <cell r="N3291" t="str">
            <v>2019 01 29 01-42-39</v>
          </cell>
          <cell r="O3291" t="str">
            <v>FA SS 1-6K</v>
          </cell>
          <cell r="Q3291">
            <v>638</v>
          </cell>
          <cell r="R3291">
            <v>22.258600000000001</v>
          </cell>
        </row>
        <row r="3292">
          <cell r="E3292" t="str">
            <v>HFMET190128A0338-107-111</v>
          </cell>
          <cell r="F3292" t="str">
            <v>Meta 62，D09</v>
          </cell>
          <cell r="G3292">
            <v>18</v>
          </cell>
          <cell r="I3292">
            <v>627</v>
          </cell>
          <cell r="J3292">
            <v>25.5303</v>
          </cell>
          <cell r="K3292">
            <v>66.999799999999993</v>
          </cell>
          <cell r="L3292" t="str">
            <v>合格</v>
          </cell>
          <cell r="M3292" t="str">
            <v>张慧</v>
          </cell>
          <cell r="N3292" t="str">
            <v>2019 01 29 01-42-39</v>
          </cell>
          <cell r="O3292" t="str">
            <v>FA SS 1-6K</v>
          </cell>
          <cell r="Q3292">
            <v>627</v>
          </cell>
          <cell r="R3292">
            <v>25.5303</v>
          </cell>
        </row>
        <row r="3293">
          <cell r="E3293" t="str">
            <v>HFMET190128A0339-107-116</v>
          </cell>
          <cell r="F3293" t="str">
            <v>Meta 62，D10</v>
          </cell>
          <cell r="G3293">
            <v>18</v>
          </cell>
          <cell r="I3293">
            <v>671</v>
          </cell>
          <cell r="J3293">
            <v>6.0000000000000001E-3</v>
          </cell>
          <cell r="K3293">
            <v>1.4800000000000001E-2</v>
          </cell>
          <cell r="L3293" t="str">
            <v>不合格</v>
          </cell>
          <cell r="M3293" t="str">
            <v>张慧</v>
          </cell>
          <cell r="N3293" t="str">
            <v>2019 01 29 01-42-39</v>
          </cell>
          <cell r="O3293" t="str">
            <v>FA SS 1-6K</v>
          </cell>
          <cell r="P3293" t="str">
            <v>无目的峰</v>
          </cell>
          <cell r="Q3293">
            <v>671</v>
          </cell>
          <cell r="R3293">
            <v>6.0000000000000001E-3</v>
          </cell>
        </row>
        <row r="3294">
          <cell r="E3294" t="str">
            <v>HFMET190128A0340-107-114</v>
          </cell>
          <cell r="F3294" t="str">
            <v>Meta 62，D11</v>
          </cell>
          <cell r="G3294">
            <v>18</v>
          </cell>
          <cell r="I3294">
            <v>747</v>
          </cell>
          <cell r="J3294">
            <v>1E-3</v>
          </cell>
          <cell r="K3294">
            <v>2.2000000000000001E-3</v>
          </cell>
          <cell r="L3294" t="str">
            <v>不合格</v>
          </cell>
          <cell r="M3294" t="str">
            <v>张慧</v>
          </cell>
          <cell r="N3294" t="str">
            <v>2019 01 29 01-42-39</v>
          </cell>
          <cell r="O3294" t="str">
            <v>FA SS 1-6K</v>
          </cell>
          <cell r="P3294" t="str">
            <v>无目的峰</v>
          </cell>
          <cell r="Q3294">
            <v>747</v>
          </cell>
          <cell r="R3294">
            <v>1E-3</v>
          </cell>
        </row>
        <row r="3295">
          <cell r="E3295" t="str">
            <v>HFMET190128A0341-108-111</v>
          </cell>
          <cell r="F3295" t="str">
            <v>Meta 62，D12</v>
          </cell>
          <cell r="G3295">
            <v>18</v>
          </cell>
          <cell r="I3295" t="str">
            <v>NaN</v>
          </cell>
          <cell r="J3295">
            <v>0</v>
          </cell>
          <cell r="K3295" t="str">
            <v>NaN</v>
          </cell>
          <cell r="L3295" t="str">
            <v>不合格</v>
          </cell>
          <cell r="M3295" t="str">
            <v>张慧</v>
          </cell>
          <cell r="N3295" t="str">
            <v>2019 01 29 01-42-39</v>
          </cell>
          <cell r="O3295" t="str">
            <v>FA SS 1-6K</v>
          </cell>
          <cell r="P3295" t="str">
            <v>无目的峰</v>
          </cell>
          <cell r="Q3295" t="str">
            <v>NaN</v>
          </cell>
          <cell r="R3295">
            <v>0</v>
          </cell>
        </row>
        <row r="3296">
          <cell r="E3296" t="str">
            <v>HFMET190128A0342-109-111</v>
          </cell>
          <cell r="F3296" t="str">
            <v>Meta 62，E01</v>
          </cell>
          <cell r="G3296">
            <v>18</v>
          </cell>
          <cell r="I3296">
            <v>695</v>
          </cell>
          <cell r="J3296">
            <v>9.9000000000000008E-3</v>
          </cell>
          <cell r="K3296">
            <v>2.3400000000000001E-2</v>
          </cell>
          <cell r="L3296" t="str">
            <v>不合格</v>
          </cell>
          <cell r="M3296" t="str">
            <v>张慧</v>
          </cell>
          <cell r="N3296" t="str">
            <v>2019 01 29 01-42-39</v>
          </cell>
          <cell r="O3296" t="str">
            <v>FA SS 1-6K</v>
          </cell>
          <cell r="P3296" t="str">
            <v>无目的峰</v>
          </cell>
          <cell r="Q3296">
            <v>695</v>
          </cell>
          <cell r="R3296">
            <v>9.9000000000000008E-3</v>
          </cell>
        </row>
        <row r="3297">
          <cell r="E3297" t="str">
            <v>HFMET190128A0343-92-115</v>
          </cell>
          <cell r="F3297" t="str">
            <v>Meta 62，E02</v>
          </cell>
          <cell r="G3297">
            <v>18</v>
          </cell>
          <cell r="I3297">
            <v>586</v>
          </cell>
          <cell r="J3297">
            <v>0.54269999999999996</v>
          </cell>
          <cell r="K3297">
            <v>1.5242</v>
          </cell>
          <cell r="L3297" t="str">
            <v>风险上机</v>
          </cell>
          <cell r="M3297" t="str">
            <v>张慧</v>
          </cell>
          <cell r="N3297" t="str">
            <v>2019 01 29 01-42-39</v>
          </cell>
          <cell r="O3297" t="str">
            <v>FA SS 1-6K</v>
          </cell>
          <cell r="P3297" t="str">
            <v>目的峰较明显，浓度过低</v>
          </cell>
          <cell r="Q3297">
            <v>586</v>
          </cell>
          <cell r="R3297">
            <v>0.54269999999999996</v>
          </cell>
        </row>
        <row r="3298">
          <cell r="E3298" t="str">
            <v>HFMET190128A0344-93-115</v>
          </cell>
          <cell r="F3298" t="str">
            <v>Meta 62，E03</v>
          </cell>
          <cell r="G3298">
            <v>18</v>
          </cell>
          <cell r="I3298">
            <v>571</v>
          </cell>
          <cell r="J3298">
            <v>2.0000000000000001E-4</v>
          </cell>
          <cell r="K3298">
            <v>5.0000000000000001E-4</v>
          </cell>
          <cell r="L3298" t="str">
            <v>不合格</v>
          </cell>
          <cell r="M3298" t="str">
            <v>张慧</v>
          </cell>
          <cell r="N3298" t="str">
            <v>2019 01 29  16-05-59</v>
          </cell>
          <cell r="O3298" t="str">
            <v>FA SS 1-6K</v>
          </cell>
          <cell r="Q3298">
            <v>571</v>
          </cell>
          <cell r="R3298">
            <v>2.0000000000000001E-4</v>
          </cell>
        </row>
        <row r="3299">
          <cell r="E3299" t="str">
            <v>HFMET190128A0345-94-115</v>
          </cell>
          <cell r="F3299" t="str">
            <v>Meta 62，E04</v>
          </cell>
          <cell r="G3299">
            <v>18</v>
          </cell>
          <cell r="I3299">
            <v>660</v>
          </cell>
          <cell r="J3299">
            <v>4.5100000000000001E-2</v>
          </cell>
          <cell r="K3299">
            <v>0.1125</v>
          </cell>
          <cell r="L3299" t="str">
            <v>不合格</v>
          </cell>
          <cell r="M3299" t="str">
            <v>张慧</v>
          </cell>
          <cell r="N3299" t="str">
            <v>2019 01 29 02-53-48</v>
          </cell>
          <cell r="O3299" t="str">
            <v>FA SS 1-6K</v>
          </cell>
          <cell r="P3299" t="str">
            <v>无目的峰</v>
          </cell>
          <cell r="Q3299">
            <v>660</v>
          </cell>
          <cell r="R3299">
            <v>4.5100000000000001E-2</v>
          </cell>
        </row>
        <row r="3300">
          <cell r="E3300" t="str">
            <v>HFMET190128A0346-95-115</v>
          </cell>
          <cell r="F3300" t="str">
            <v>Meta 62，E05</v>
          </cell>
          <cell r="G3300">
            <v>18</v>
          </cell>
          <cell r="I3300">
            <v>698</v>
          </cell>
          <cell r="J3300">
            <v>9.3700000000000006E-2</v>
          </cell>
          <cell r="K3300">
            <v>0.22109999999999999</v>
          </cell>
          <cell r="L3300" t="str">
            <v>不合格</v>
          </cell>
          <cell r="M3300" t="str">
            <v>张慧</v>
          </cell>
          <cell r="N3300" t="str">
            <v>2019 01 29  22-16-20</v>
          </cell>
          <cell r="O3300" t="str">
            <v>FA-6K(SS)</v>
          </cell>
          <cell r="P3300" t="str">
            <v>HFMET190128A0346-95-115</v>
          </cell>
          <cell r="Q3300">
            <v>698</v>
          </cell>
          <cell r="R3300">
            <v>9.3700000000000006E-2</v>
          </cell>
        </row>
        <row r="3301">
          <cell r="E3301" t="str">
            <v>HFMET190128A0347-96-115</v>
          </cell>
          <cell r="F3301" t="str">
            <v>Meta 62，E06</v>
          </cell>
          <cell r="G3301">
            <v>18</v>
          </cell>
          <cell r="I3301">
            <v>593</v>
          </cell>
          <cell r="J3301">
            <v>0.70720000000000005</v>
          </cell>
          <cell r="K3301">
            <v>1.9622999999999999</v>
          </cell>
          <cell r="L3301" t="str">
            <v>风险上机</v>
          </cell>
          <cell r="M3301" t="str">
            <v>张慧</v>
          </cell>
          <cell r="N3301" t="str">
            <v>2019 01 29 02-53-48</v>
          </cell>
          <cell r="O3301" t="str">
            <v>FA SS 1-6K</v>
          </cell>
          <cell r="P3301" t="str">
            <v>目的峰较明显，浓度过低</v>
          </cell>
          <cell r="Q3301">
            <v>593</v>
          </cell>
          <cell r="R3301">
            <v>0.70720000000000005</v>
          </cell>
        </row>
        <row r="3302">
          <cell r="E3302" t="str">
            <v>HFMET190128A0348-97-115</v>
          </cell>
          <cell r="F3302" t="str">
            <v>Meta 62，E07</v>
          </cell>
          <cell r="G3302">
            <v>18</v>
          </cell>
          <cell r="I3302">
            <v>613</v>
          </cell>
          <cell r="J3302">
            <v>1.9075</v>
          </cell>
          <cell r="K3302">
            <v>5.1246</v>
          </cell>
          <cell r="L3302" t="str">
            <v>不合格</v>
          </cell>
          <cell r="M3302" t="str">
            <v>张慧</v>
          </cell>
          <cell r="N3302" t="str">
            <v>2019 01 29 02-53-48</v>
          </cell>
          <cell r="O3302" t="str">
            <v>FA SS 1-6K</v>
          </cell>
          <cell r="P3302" t="str">
            <v>无目的峰，宿主基因组污染</v>
          </cell>
          <cell r="Q3302">
            <v>613</v>
          </cell>
          <cell r="R3302">
            <v>1.9075</v>
          </cell>
        </row>
        <row r="3303">
          <cell r="E3303" t="str">
            <v>HFMET190128A0349-98-115</v>
          </cell>
          <cell r="F3303" t="str">
            <v>Meta 62，E08</v>
          </cell>
          <cell r="G3303">
            <v>18</v>
          </cell>
          <cell r="I3303">
            <v>615</v>
          </cell>
          <cell r="J3303">
            <v>2.9983</v>
          </cell>
          <cell r="K3303">
            <v>8.0245999999999995</v>
          </cell>
          <cell r="L3303" t="str">
            <v>不合格</v>
          </cell>
          <cell r="M3303" t="str">
            <v>张慧</v>
          </cell>
          <cell r="N3303" t="str">
            <v>2019 01 29 02-53-48</v>
          </cell>
          <cell r="O3303" t="str">
            <v>FA SS 1-6K</v>
          </cell>
          <cell r="P3303" t="str">
            <v>无目的峰，宿主基因组污染</v>
          </cell>
          <cell r="Q3303">
            <v>615</v>
          </cell>
          <cell r="R3303">
            <v>2.9983</v>
          </cell>
        </row>
        <row r="3304">
          <cell r="E3304" t="str">
            <v>HFMET190128A0350-99-115</v>
          </cell>
          <cell r="F3304" t="str">
            <v>Meta 62，E09</v>
          </cell>
          <cell r="G3304">
            <v>18</v>
          </cell>
          <cell r="I3304">
            <v>620</v>
          </cell>
          <cell r="J3304">
            <v>2.6629</v>
          </cell>
          <cell r="K3304">
            <v>7.0727000000000002</v>
          </cell>
          <cell r="L3304" t="str">
            <v>不合格</v>
          </cell>
          <cell r="M3304" t="str">
            <v>张慧</v>
          </cell>
          <cell r="N3304" t="str">
            <v>2019 01 29 02-53-48</v>
          </cell>
          <cell r="O3304" t="str">
            <v>FA SS 1-6K</v>
          </cell>
          <cell r="P3304" t="str">
            <v>无目的峰，宿主基因组污染</v>
          </cell>
          <cell r="Q3304">
            <v>620</v>
          </cell>
          <cell r="R3304">
            <v>2.6629</v>
          </cell>
        </row>
        <row r="3305">
          <cell r="E3305" t="str">
            <v>HFMET190128A0351-100-115</v>
          </cell>
          <cell r="F3305" t="str">
            <v>Meta 62，E10</v>
          </cell>
          <cell r="G3305">
            <v>18</v>
          </cell>
          <cell r="I3305">
            <v>620</v>
          </cell>
          <cell r="J3305">
            <v>0.58199999999999996</v>
          </cell>
          <cell r="K3305">
            <v>1.5445</v>
          </cell>
          <cell r="L3305" t="str">
            <v>不合格</v>
          </cell>
          <cell r="M3305" t="str">
            <v>张慧</v>
          </cell>
          <cell r="N3305" t="str">
            <v>2019 01 29 02-53-48</v>
          </cell>
          <cell r="O3305" t="str">
            <v>FA SS 1-6K</v>
          </cell>
          <cell r="P3305" t="str">
            <v>无目的峰，宿主基因组污染</v>
          </cell>
          <cell r="Q3305">
            <v>620</v>
          </cell>
          <cell r="R3305">
            <v>0.58199999999999996</v>
          </cell>
        </row>
        <row r="3306">
          <cell r="E3306" t="str">
            <v>HFMET190128A0352-101-115</v>
          </cell>
          <cell r="F3306" t="str">
            <v>Meta 62，E11</v>
          </cell>
          <cell r="G3306">
            <v>18</v>
          </cell>
          <cell r="I3306">
            <v>619</v>
          </cell>
          <cell r="J3306">
            <v>2.2208999999999999</v>
          </cell>
          <cell r="K3306">
            <v>5.9043999999999999</v>
          </cell>
          <cell r="L3306" t="str">
            <v>不合格</v>
          </cell>
          <cell r="M3306" t="str">
            <v>张慧</v>
          </cell>
          <cell r="N3306" t="str">
            <v>2019 01 29 02-53-48</v>
          </cell>
          <cell r="O3306" t="str">
            <v>FA SS 1-6K</v>
          </cell>
          <cell r="P3306" t="str">
            <v>无目的峰，宿主基因组污染</v>
          </cell>
          <cell r="Q3306">
            <v>619</v>
          </cell>
          <cell r="R3306">
            <v>2.2208999999999999</v>
          </cell>
        </row>
        <row r="3307">
          <cell r="E3307" t="str">
            <v>HFMET190128A0353-102-115</v>
          </cell>
          <cell r="F3307" t="str">
            <v>Meta 62，E12</v>
          </cell>
          <cell r="G3307">
            <v>18</v>
          </cell>
          <cell r="I3307">
            <v>602</v>
          </cell>
          <cell r="J3307">
            <v>1.7635000000000001</v>
          </cell>
          <cell r="K3307">
            <v>4.8209</v>
          </cell>
          <cell r="L3307" t="str">
            <v>不合格</v>
          </cell>
          <cell r="M3307" t="str">
            <v>张慧</v>
          </cell>
          <cell r="N3307" t="str">
            <v>2019 01 29 02-53-48</v>
          </cell>
          <cell r="O3307" t="str">
            <v>FA SS 1-6K</v>
          </cell>
          <cell r="P3307" t="str">
            <v>无目的峰，宿主基因组污染</v>
          </cell>
          <cell r="Q3307">
            <v>602</v>
          </cell>
          <cell r="R3307">
            <v>1.7635000000000001</v>
          </cell>
        </row>
        <row r="3308">
          <cell r="E3308" t="str">
            <v>HFMET190128A0354-103-115</v>
          </cell>
          <cell r="F3308" t="str">
            <v>Meta 62，F01</v>
          </cell>
          <cell r="G3308">
            <v>18</v>
          </cell>
          <cell r="I3308">
            <v>616</v>
          </cell>
          <cell r="J3308">
            <v>4.0201000000000002</v>
          </cell>
          <cell r="K3308">
            <v>10.738099999999999</v>
          </cell>
          <cell r="L3308" t="str">
            <v>不合格</v>
          </cell>
          <cell r="M3308" t="str">
            <v>张慧</v>
          </cell>
          <cell r="N3308" t="str">
            <v>2019 01 29 02-53-48</v>
          </cell>
          <cell r="O3308" t="str">
            <v>FA SS 1-6K</v>
          </cell>
          <cell r="P3308" t="str">
            <v>无目的峰，宿主基因组污染</v>
          </cell>
          <cell r="Q3308">
            <v>616</v>
          </cell>
          <cell r="R3308">
            <v>4.0201000000000002</v>
          </cell>
        </row>
        <row r="3309">
          <cell r="E3309" t="str">
            <v>HFMET190128A0355-104-115</v>
          </cell>
          <cell r="F3309" t="str">
            <v>Meta 62，F02</v>
          </cell>
          <cell r="G3309">
            <v>18</v>
          </cell>
          <cell r="I3309" t="str">
            <v>NaN</v>
          </cell>
          <cell r="J3309">
            <v>0</v>
          </cell>
          <cell r="K3309" t="str">
            <v>NaN</v>
          </cell>
          <cell r="L3309" t="str">
            <v>合格</v>
          </cell>
          <cell r="M3309" t="str">
            <v>张慧</v>
          </cell>
          <cell r="N3309" t="str">
            <v>2019 01 29  16-05-59</v>
          </cell>
          <cell r="O3309" t="str">
            <v>FA SS 1-6K</v>
          </cell>
          <cell r="Q3309" t="str">
            <v>NaN</v>
          </cell>
          <cell r="R3309">
            <v>0</v>
          </cell>
        </row>
        <row r="3310">
          <cell r="E3310" t="str">
            <v>HFMET190128A0356-105-115</v>
          </cell>
          <cell r="F3310" t="str">
            <v>Meta 62，F03</v>
          </cell>
          <cell r="G3310">
            <v>18</v>
          </cell>
          <cell r="I3310" t="str">
            <v>NaN</v>
          </cell>
          <cell r="J3310">
            <v>0</v>
          </cell>
          <cell r="K3310" t="str">
            <v>NaN</v>
          </cell>
          <cell r="L3310" t="str">
            <v>合格</v>
          </cell>
          <cell r="M3310" t="str">
            <v>张慧</v>
          </cell>
          <cell r="N3310" t="str">
            <v>2019 01 29  16-05-59</v>
          </cell>
          <cell r="O3310" t="str">
            <v>FA SS 1-6K</v>
          </cell>
          <cell r="Q3310" t="str">
            <v>NaN</v>
          </cell>
          <cell r="R3310">
            <v>0</v>
          </cell>
        </row>
        <row r="3311">
          <cell r="E3311" t="str">
            <v>HFMET190128A0357-106-115</v>
          </cell>
          <cell r="F3311" t="str">
            <v>Meta 62，F04</v>
          </cell>
          <cell r="G3311">
            <v>18</v>
          </cell>
          <cell r="I3311" t="str">
            <v>NaN</v>
          </cell>
          <cell r="J3311">
            <v>0</v>
          </cell>
          <cell r="K3311" t="str">
            <v>NaN</v>
          </cell>
          <cell r="L3311" t="str">
            <v>合格</v>
          </cell>
          <cell r="M3311" t="str">
            <v>张慧</v>
          </cell>
          <cell r="N3311" t="str">
            <v>2019 01 29  16-05-59</v>
          </cell>
          <cell r="O3311" t="str">
            <v>FA SS 1-6K</v>
          </cell>
          <cell r="Q3311" t="str">
            <v>NaN</v>
          </cell>
          <cell r="R3311">
            <v>0</v>
          </cell>
        </row>
        <row r="3313">
          <cell r="E3313" t="str">
            <v>HFMET190129B0177-58-78</v>
          </cell>
          <cell r="F3313" t="str">
            <v>Meta 62，F05</v>
          </cell>
          <cell r="G3313">
            <v>18</v>
          </cell>
          <cell r="I3313">
            <v>529</v>
          </cell>
          <cell r="J3313">
            <v>1.3046</v>
          </cell>
          <cell r="K3313">
            <v>4.0579999999999998</v>
          </cell>
          <cell r="L3313" t="str">
            <v>合格</v>
          </cell>
          <cell r="M3313" t="str">
            <v>张慧</v>
          </cell>
          <cell r="N3313" t="str">
            <v>2019 01 29   17-17-05</v>
          </cell>
          <cell r="O3313" t="str">
            <v>FA-6K(SS)</v>
          </cell>
          <cell r="P3313" t="str">
            <v>HFMET190129B0177-58-78</v>
          </cell>
          <cell r="Q3313">
            <v>529</v>
          </cell>
          <cell r="R3313">
            <v>1.3046</v>
          </cell>
        </row>
        <row r="3314">
          <cell r="E3314" t="str">
            <v>HFMET190129B0187-52-80</v>
          </cell>
          <cell r="F3314" t="str">
            <v>Meta 62，F06</v>
          </cell>
          <cell r="G3314">
            <v>18</v>
          </cell>
          <cell r="I3314">
            <v>535</v>
          </cell>
          <cell r="J3314">
            <v>0.24279999999999999</v>
          </cell>
          <cell r="K3314">
            <v>0.74709999999999999</v>
          </cell>
          <cell r="L3314" t="str">
            <v>不合格</v>
          </cell>
          <cell r="M3314" t="str">
            <v>张慧</v>
          </cell>
          <cell r="N3314" t="str">
            <v>2019 01 29   17-17-05</v>
          </cell>
          <cell r="O3314" t="str">
            <v>FA-6K(SS)</v>
          </cell>
          <cell r="P3314" t="str">
            <v>HFMET190129B0187-52-80</v>
          </cell>
          <cell r="Q3314">
            <v>535</v>
          </cell>
          <cell r="R3314">
            <v>0.24279999999999999</v>
          </cell>
        </row>
        <row r="3315">
          <cell r="E3315" t="str">
            <v>HFMET190129B0188-53-80</v>
          </cell>
          <cell r="F3315" t="str">
            <v>Meta 62，F07</v>
          </cell>
          <cell r="G3315">
            <v>18</v>
          </cell>
          <cell r="I3315">
            <v>552</v>
          </cell>
          <cell r="J3315">
            <v>1.2222</v>
          </cell>
          <cell r="K3315">
            <v>3.6448</v>
          </cell>
          <cell r="L3315" t="str">
            <v>风险上机</v>
          </cell>
          <cell r="M3315" t="str">
            <v>张慧</v>
          </cell>
          <cell r="N3315" t="str">
            <v>2019 01 29   17-17-05</v>
          </cell>
          <cell r="O3315" t="str">
            <v>FA-6K(SS)</v>
          </cell>
          <cell r="P3315" t="str">
            <v>HFMET190129B0188-53-80</v>
          </cell>
          <cell r="Q3315">
            <v>552</v>
          </cell>
          <cell r="R3315">
            <v>1.2222</v>
          </cell>
        </row>
        <row r="3316">
          <cell r="E3316" t="str">
            <v>HFMET190129B0189-54-80</v>
          </cell>
          <cell r="F3316" t="str">
            <v>Meta 62，F08</v>
          </cell>
          <cell r="G3316">
            <v>18</v>
          </cell>
          <cell r="I3316">
            <v>532</v>
          </cell>
          <cell r="J3316">
            <v>1.5100000000000001E-2</v>
          </cell>
          <cell r="K3316">
            <v>4.6699999999999998E-2</v>
          </cell>
          <cell r="L3316" t="str">
            <v>不合格</v>
          </cell>
          <cell r="M3316" t="str">
            <v>张慧</v>
          </cell>
          <cell r="N3316" t="str">
            <v>2019 01 29   17-17-05</v>
          </cell>
          <cell r="O3316" t="str">
            <v>FA-6K(SS)</v>
          </cell>
          <cell r="P3316" t="str">
            <v>HFMET190129B0189-54-80</v>
          </cell>
          <cell r="Q3316">
            <v>532</v>
          </cell>
          <cell r="R3316">
            <v>1.5100000000000001E-2</v>
          </cell>
        </row>
        <row r="3317">
          <cell r="E3317" t="str">
            <v>HFMET190129B0190-55-80</v>
          </cell>
          <cell r="F3317" t="str">
            <v>Meta 62，F09</v>
          </cell>
          <cell r="G3317">
            <v>18</v>
          </cell>
          <cell r="I3317">
            <v>527</v>
          </cell>
          <cell r="J3317">
            <v>0.1658</v>
          </cell>
          <cell r="K3317">
            <v>0.5181</v>
          </cell>
          <cell r="L3317" t="str">
            <v>不合格</v>
          </cell>
          <cell r="M3317" t="str">
            <v>张慧</v>
          </cell>
          <cell r="N3317" t="str">
            <v>2019 01 29   17-17-05</v>
          </cell>
          <cell r="O3317" t="str">
            <v>FA-6K(SS)</v>
          </cell>
          <cell r="P3317" t="str">
            <v>HFMET190129B0190-55-80</v>
          </cell>
          <cell r="Q3317">
            <v>527</v>
          </cell>
          <cell r="R3317">
            <v>0.1658</v>
          </cell>
        </row>
        <row r="3318">
          <cell r="E3318" t="str">
            <v>HFMET190129B0191-56-80</v>
          </cell>
          <cell r="F3318" t="str">
            <v>Meta 62，F10</v>
          </cell>
          <cell r="G3318">
            <v>18</v>
          </cell>
          <cell r="I3318">
            <v>521</v>
          </cell>
          <cell r="J3318">
            <v>1.7676000000000001</v>
          </cell>
          <cell r="K3318">
            <v>5.5839999999999996</v>
          </cell>
          <cell r="L3318" t="str">
            <v>不合格</v>
          </cell>
          <cell r="M3318" t="str">
            <v>张慧</v>
          </cell>
          <cell r="N3318" t="str">
            <v>2019 01 29   17-17-05</v>
          </cell>
          <cell r="O3318" t="str">
            <v>FA-6K(SS)</v>
          </cell>
          <cell r="P3318" t="str">
            <v>HFMET190129B0191-56-80</v>
          </cell>
          <cell r="Q3318">
            <v>521</v>
          </cell>
          <cell r="R3318">
            <v>1.7676000000000001</v>
          </cell>
        </row>
        <row r="3319">
          <cell r="E3319" t="str">
            <v>HFMET190129B0192-57-80</v>
          </cell>
          <cell r="F3319" t="str">
            <v>Meta 62，F11</v>
          </cell>
          <cell r="G3319">
            <v>18</v>
          </cell>
          <cell r="I3319">
            <v>515</v>
          </cell>
          <cell r="J3319">
            <v>0.52149999999999996</v>
          </cell>
          <cell r="K3319">
            <v>1.6656</v>
          </cell>
          <cell r="L3319" t="str">
            <v>不合格</v>
          </cell>
          <cell r="M3319" t="str">
            <v>张慧</v>
          </cell>
          <cell r="N3319" t="str">
            <v>2019 01 29   17-17-05</v>
          </cell>
          <cell r="O3319" t="str">
            <v>FA-6K(SS)</v>
          </cell>
          <cell r="P3319" t="str">
            <v>HFMET190129B0192-57-80</v>
          </cell>
          <cell r="Q3319">
            <v>515</v>
          </cell>
          <cell r="R3319">
            <v>0.52149999999999996</v>
          </cell>
        </row>
        <row r="3320">
          <cell r="E3320" t="str">
            <v>HFMET190129B0193-58-80</v>
          </cell>
          <cell r="F3320" t="str">
            <v>Meta 62，F12</v>
          </cell>
          <cell r="G3320">
            <v>18</v>
          </cell>
          <cell r="I3320">
            <v>535</v>
          </cell>
          <cell r="J3320">
            <v>0.15060000000000001</v>
          </cell>
          <cell r="K3320">
            <v>0.46300000000000002</v>
          </cell>
          <cell r="L3320" t="str">
            <v>不合格</v>
          </cell>
          <cell r="M3320" t="str">
            <v>张慧</v>
          </cell>
          <cell r="N3320" t="str">
            <v>2019 01 29   17-17-05</v>
          </cell>
          <cell r="O3320" t="str">
            <v>FA-6K(SS)</v>
          </cell>
          <cell r="P3320" t="str">
            <v>HFMET190129B0193-58-80</v>
          </cell>
          <cell r="Q3320">
            <v>535</v>
          </cell>
          <cell r="R3320">
            <v>0.15060000000000001</v>
          </cell>
        </row>
        <row r="3321">
          <cell r="E3321" t="str">
            <v>HFMET190129B0195-52-81</v>
          </cell>
          <cell r="F3321" t="str">
            <v>Meta 62，G01</v>
          </cell>
          <cell r="G3321">
            <v>18</v>
          </cell>
          <cell r="I3321">
            <v>586</v>
          </cell>
          <cell r="J3321">
            <v>4.6100000000000002E-2</v>
          </cell>
          <cell r="K3321">
            <v>0.1295</v>
          </cell>
          <cell r="L3321" t="str">
            <v>不合格</v>
          </cell>
          <cell r="M3321" t="str">
            <v>张慧</v>
          </cell>
          <cell r="N3321" t="str">
            <v>2019 01 29  18-28-19</v>
          </cell>
          <cell r="O3321" t="str">
            <v>FA-6K(SS)</v>
          </cell>
          <cell r="P3321" t="str">
            <v>HFMET190129B0195-52-81</v>
          </cell>
          <cell r="Q3321">
            <v>586</v>
          </cell>
          <cell r="R3321">
            <v>4.6100000000000002E-2</v>
          </cell>
        </row>
        <row r="3322">
          <cell r="E3322" t="str">
            <v>HFMET190129B0197-54-81</v>
          </cell>
          <cell r="F3322" t="str">
            <v>Meta 62，G02</v>
          </cell>
          <cell r="G3322">
            <v>18</v>
          </cell>
          <cell r="I3322">
            <v>532</v>
          </cell>
          <cell r="J3322">
            <v>0.51070000000000004</v>
          </cell>
          <cell r="K3322">
            <v>1.5809</v>
          </cell>
          <cell r="L3322" t="str">
            <v>不合格</v>
          </cell>
          <cell r="M3322" t="str">
            <v>张慧</v>
          </cell>
          <cell r="N3322" t="str">
            <v>2019 01 29  18-28-19</v>
          </cell>
          <cell r="O3322" t="str">
            <v>FA-6K(SS)</v>
          </cell>
          <cell r="P3322" t="str">
            <v>HFMET190129B0197-54-81</v>
          </cell>
          <cell r="Q3322">
            <v>532</v>
          </cell>
          <cell r="R3322">
            <v>0.51070000000000004</v>
          </cell>
        </row>
        <row r="3323">
          <cell r="E3323" t="str">
            <v>HFMET190129B0200-57-81</v>
          </cell>
          <cell r="F3323" t="str">
            <v>Meta 62，G03</v>
          </cell>
          <cell r="G3323">
            <v>18</v>
          </cell>
          <cell r="I3323">
            <v>527</v>
          </cell>
          <cell r="J3323">
            <v>0.75849999999999995</v>
          </cell>
          <cell r="K3323">
            <v>2.3685999999999998</v>
          </cell>
          <cell r="L3323" t="str">
            <v>风险上机</v>
          </cell>
          <cell r="M3323" t="str">
            <v>张慧</v>
          </cell>
          <cell r="N3323" t="str">
            <v>2019 01 29  18-28-19</v>
          </cell>
          <cell r="O3323" t="str">
            <v>FA-6K(SS)</v>
          </cell>
          <cell r="P3323" t="str">
            <v>HFMET190129B0200-57-81</v>
          </cell>
          <cell r="Q3323">
            <v>527</v>
          </cell>
          <cell r="R3323">
            <v>0.75849999999999995</v>
          </cell>
        </row>
        <row r="3324">
          <cell r="E3324" t="str">
            <v>HFMET190129B0201-58-81</v>
          </cell>
          <cell r="F3324" t="str">
            <v>Meta 62，G04</v>
          </cell>
          <cell r="G3324">
            <v>18</v>
          </cell>
          <cell r="I3324">
            <v>525</v>
          </cell>
          <cell r="J3324">
            <v>5.7637999999999998</v>
          </cell>
          <cell r="K3324">
            <v>18.054200000000002</v>
          </cell>
          <cell r="L3324" t="str">
            <v>合格</v>
          </cell>
          <cell r="M3324" t="str">
            <v>张慧</v>
          </cell>
          <cell r="N3324" t="str">
            <v>2019 01 29  18-28-19</v>
          </cell>
          <cell r="O3324" t="str">
            <v>FA-6K(SS)</v>
          </cell>
          <cell r="P3324" t="str">
            <v>HFMET190129B0201-58-81</v>
          </cell>
          <cell r="Q3324">
            <v>525</v>
          </cell>
          <cell r="R3324">
            <v>5.7637999999999998</v>
          </cell>
        </row>
        <row r="3325">
          <cell r="E3325" t="str">
            <v>HFMET190129B0203-52-82</v>
          </cell>
          <cell r="F3325" t="str">
            <v>Meta 62，G05</v>
          </cell>
          <cell r="G3325">
            <v>18</v>
          </cell>
          <cell r="I3325">
            <v>546</v>
          </cell>
          <cell r="J3325">
            <v>0.48270000000000002</v>
          </cell>
          <cell r="K3325">
            <v>1.4535</v>
          </cell>
          <cell r="L3325" t="str">
            <v>不合格</v>
          </cell>
          <cell r="M3325" t="str">
            <v>张慧</v>
          </cell>
          <cell r="N3325" t="str">
            <v>2019 01 29  18-28-19</v>
          </cell>
          <cell r="O3325" t="str">
            <v>FA-6K(SS)</v>
          </cell>
          <cell r="P3325" t="str">
            <v>HFMET190129B0203-52-82</v>
          </cell>
          <cell r="Q3325">
            <v>546</v>
          </cell>
          <cell r="R3325">
            <v>0.48270000000000002</v>
          </cell>
        </row>
        <row r="3326">
          <cell r="E3326" t="str">
            <v>HFMET190129B0204-53-82</v>
          </cell>
          <cell r="F3326" t="str">
            <v>Meta 62，G06</v>
          </cell>
          <cell r="G3326">
            <v>18</v>
          </cell>
          <cell r="I3326">
            <v>545</v>
          </cell>
          <cell r="J3326">
            <v>0.8377</v>
          </cell>
          <cell r="K3326">
            <v>2.5282</v>
          </cell>
          <cell r="L3326" t="str">
            <v>风险上机</v>
          </cell>
          <cell r="M3326" t="str">
            <v>张慧</v>
          </cell>
          <cell r="N3326" t="str">
            <v>2019 01 29  18-28-19</v>
          </cell>
          <cell r="O3326" t="str">
            <v>FA-6K(SS)</v>
          </cell>
          <cell r="P3326" t="str">
            <v>HFMET190129B0204-53-82</v>
          </cell>
          <cell r="Q3326">
            <v>545</v>
          </cell>
          <cell r="R3326">
            <v>0.8377</v>
          </cell>
        </row>
        <row r="3327">
          <cell r="E3327" t="str">
            <v>HFMET190129B0206-55-82</v>
          </cell>
          <cell r="F3327" t="str">
            <v>Meta 62，G07</v>
          </cell>
          <cell r="G3327">
            <v>18</v>
          </cell>
          <cell r="I3327">
            <v>522</v>
          </cell>
          <cell r="J3327">
            <v>6.2077</v>
          </cell>
          <cell r="K3327">
            <v>19.572099999999999</v>
          </cell>
          <cell r="L3327" t="str">
            <v>合格</v>
          </cell>
          <cell r="M3327" t="str">
            <v>张慧</v>
          </cell>
          <cell r="N3327" t="str">
            <v>2019 01 29  18-28-19</v>
          </cell>
          <cell r="O3327" t="str">
            <v>FA-6K(SS)</v>
          </cell>
          <cell r="P3327" t="str">
            <v>HFMET190129B0206-55-82</v>
          </cell>
          <cell r="Q3327">
            <v>522</v>
          </cell>
          <cell r="R3327">
            <v>6.2077</v>
          </cell>
        </row>
        <row r="3328">
          <cell r="E3328" t="str">
            <v>HFMET190129B0213-54-83</v>
          </cell>
          <cell r="F3328" t="str">
            <v>Meta 62，G08</v>
          </cell>
          <cell r="G3328">
            <v>18</v>
          </cell>
          <cell r="I3328">
            <v>521</v>
          </cell>
          <cell r="J3328">
            <v>0.3211</v>
          </cell>
          <cell r="K3328">
            <v>1.0145999999999999</v>
          </cell>
          <cell r="L3328" t="str">
            <v>不合格</v>
          </cell>
          <cell r="M3328" t="str">
            <v>张慧</v>
          </cell>
          <cell r="N3328" t="str">
            <v>2019 01 29  18-28-19</v>
          </cell>
          <cell r="O3328" t="str">
            <v>FA-6K(SS)</v>
          </cell>
          <cell r="P3328" t="str">
            <v>HFMET190129B0213-54-83</v>
          </cell>
          <cell r="Q3328">
            <v>521</v>
          </cell>
          <cell r="R3328">
            <v>0.3211</v>
          </cell>
        </row>
        <row r="3329">
          <cell r="E3329" t="str">
            <v>HFMET190129B0214-55-83</v>
          </cell>
          <cell r="F3329" t="str">
            <v>Meta 62，G09</v>
          </cell>
          <cell r="G3329">
            <v>18</v>
          </cell>
          <cell r="I3329">
            <v>549</v>
          </cell>
          <cell r="J3329">
            <v>0.2009</v>
          </cell>
          <cell r="K3329">
            <v>0.60199999999999998</v>
          </cell>
          <cell r="L3329" t="str">
            <v>不合格</v>
          </cell>
          <cell r="M3329" t="str">
            <v>张慧</v>
          </cell>
          <cell r="N3329" t="str">
            <v>2019 01 29   17-17-05</v>
          </cell>
          <cell r="O3329" t="str">
            <v>FA-6K(SS)</v>
          </cell>
          <cell r="P3329" t="str">
            <v>HFMET190129B0214-55-83</v>
          </cell>
          <cell r="Q3329">
            <v>549</v>
          </cell>
          <cell r="R3329">
            <v>0.2009</v>
          </cell>
        </row>
        <row r="3330">
          <cell r="E3330" t="str">
            <v>HFMET190129B0215-56-83</v>
          </cell>
          <cell r="F3330" t="str">
            <v>Meta 62，G10</v>
          </cell>
          <cell r="G3330">
            <v>18</v>
          </cell>
          <cell r="I3330">
            <v>517</v>
          </cell>
          <cell r="J3330">
            <v>1.8774</v>
          </cell>
          <cell r="K3330">
            <v>5.9733999999999998</v>
          </cell>
          <cell r="L3330" t="str">
            <v>不合格</v>
          </cell>
          <cell r="M3330" t="str">
            <v>张慧</v>
          </cell>
          <cell r="N3330" t="str">
            <v>2019 01 29   17-17-05</v>
          </cell>
          <cell r="O3330" t="str">
            <v>FA-6K(SS)</v>
          </cell>
          <cell r="P3330" t="str">
            <v>HFMET190129B0215-56-83</v>
          </cell>
          <cell r="Q3330">
            <v>517</v>
          </cell>
          <cell r="R3330">
            <v>1.8774</v>
          </cell>
        </row>
        <row r="3332">
          <cell r="E3332" t="str">
            <v>HFMET190129B0307-99-111</v>
          </cell>
          <cell r="F3332" t="str">
            <v>Meta 62，G11</v>
          </cell>
          <cell r="G3332">
            <v>18</v>
          </cell>
          <cell r="I3332">
            <v>623</v>
          </cell>
          <cell r="J3332">
            <v>26.6873</v>
          </cell>
          <cell r="K3332">
            <v>70.485200000000006</v>
          </cell>
          <cell r="L3332" t="str">
            <v>合格</v>
          </cell>
          <cell r="M3332" t="str">
            <v>张慧</v>
          </cell>
          <cell r="N3332" t="str">
            <v>2019 01 29  18-28-19</v>
          </cell>
          <cell r="O3332" t="str">
            <v>FA-6K(SS)</v>
          </cell>
          <cell r="P3332" t="str">
            <v>HFMET190129B0307-99-111</v>
          </cell>
          <cell r="Q3332">
            <v>623</v>
          </cell>
          <cell r="R3332">
            <v>26.6873</v>
          </cell>
        </row>
        <row r="3333">
          <cell r="E3333" t="str">
            <v>HFMET190129B0324-103-112</v>
          </cell>
          <cell r="F3333" t="str">
            <v>Meta 62，G12</v>
          </cell>
          <cell r="G3333">
            <v>18</v>
          </cell>
          <cell r="I3333">
            <v>635</v>
          </cell>
          <cell r="J3333">
            <v>16.3904</v>
          </cell>
          <cell r="K3333">
            <v>42.455300000000001</v>
          </cell>
          <cell r="L3333" t="str">
            <v>合格</v>
          </cell>
          <cell r="M3333" t="str">
            <v>张慧</v>
          </cell>
          <cell r="N3333" t="str">
            <v>2019 01 29  18-28-19</v>
          </cell>
          <cell r="O3333" t="str">
            <v>FA-6K(SS)</v>
          </cell>
          <cell r="P3333" t="str">
            <v>HFMET190129B0324-103-112</v>
          </cell>
          <cell r="Q3333">
            <v>635</v>
          </cell>
          <cell r="R3333">
            <v>16.3904</v>
          </cell>
        </row>
        <row r="3334">
          <cell r="E3334" t="str">
            <v>HFMET190129B0330-104-114</v>
          </cell>
          <cell r="F3334" t="str">
            <v>Meta 62，H01</v>
          </cell>
          <cell r="G3334">
            <v>18</v>
          </cell>
          <cell r="I3334">
            <v>638</v>
          </cell>
          <cell r="J3334">
            <v>29.319299999999998</v>
          </cell>
          <cell r="K3334">
            <v>75.593800000000002</v>
          </cell>
          <cell r="L3334" t="str">
            <v>合格</v>
          </cell>
          <cell r="M3334" t="str">
            <v>张慧</v>
          </cell>
          <cell r="N3334" t="str">
            <v>2019 01 29  19-39-32</v>
          </cell>
          <cell r="O3334" t="str">
            <v>FA-6K(SS)</v>
          </cell>
          <cell r="P3334" t="str">
            <v>HFMET190129B0330-104-114</v>
          </cell>
          <cell r="Q3334">
            <v>638</v>
          </cell>
          <cell r="R3334">
            <v>29.319299999999998</v>
          </cell>
        </row>
        <row r="3335">
          <cell r="E3335" t="str">
            <v>HFMET190129B0335-106-111</v>
          </cell>
          <cell r="F3335" t="str">
            <v>Meta 62，H02</v>
          </cell>
          <cell r="G3335">
            <v>18</v>
          </cell>
          <cell r="I3335">
            <v>629</v>
          </cell>
          <cell r="J3335">
            <v>23.848600000000001</v>
          </cell>
          <cell r="K3335">
            <v>62.436900000000001</v>
          </cell>
          <cell r="L3335" t="str">
            <v>合格</v>
          </cell>
          <cell r="M3335" t="str">
            <v>张慧</v>
          </cell>
          <cell r="N3335" t="str">
            <v>2019 01 29  19-39-32</v>
          </cell>
          <cell r="O3335" t="str">
            <v>FA-6K(SS)</v>
          </cell>
          <cell r="P3335" t="str">
            <v>HFMET190129B0335-106-111</v>
          </cell>
          <cell r="Q3335">
            <v>629</v>
          </cell>
          <cell r="R3335">
            <v>23.848600000000001</v>
          </cell>
        </row>
        <row r="3336">
          <cell r="E3336" t="str">
            <v>HFMET190129B0339-107-116</v>
          </cell>
          <cell r="F3336" t="str">
            <v>Meta 62，H03</v>
          </cell>
          <cell r="G3336">
            <v>18</v>
          </cell>
          <cell r="I3336">
            <v>594</v>
          </cell>
          <cell r="J3336">
            <v>15.926500000000001</v>
          </cell>
          <cell r="K3336">
            <v>44.099699999999999</v>
          </cell>
          <cell r="L3336" t="str">
            <v>合格</v>
          </cell>
          <cell r="M3336" t="str">
            <v>张慧</v>
          </cell>
          <cell r="N3336" t="str">
            <v>2019 01 29  19-39-32</v>
          </cell>
          <cell r="O3336" t="str">
            <v>FA-6K(SS)</v>
          </cell>
          <cell r="P3336" t="str">
            <v>HFMET190129B0339-107-116</v>
          </cell>
          <cell r="Q3336">
            <v>594</v>
          </cell>
          <cell r="R3336">
            <v>15.926500000000001</v>
          </cell>
        </row>
        <row r="3337">
          <cell r="E3337" t="str">
            <v>HFMET190129B0340-107-114</v>
          </cell>
          <cell r="F3337" t="str">
            <v>Meta 62，H04</v>
          </cell>
          <cell r="G3337">
            <v>18</v>
          </cell>
          <cell r="I3337">
            <v>626</v>
          </cell>
          <cell r="J3337">
            <v>27.646799999999999</v>
          </cell>
          <cell r="K3337">
            <v>72.649100000000004</v>
          </cell>
          <cell r="L3337" t="str">
            <v>合格</v>
          </cell>
          <cell r="M3337" t="str">
            <v>张慧</v>
          </cell>
          <cell r="N3337" t="str">
            <v>2019 01 29  19-39-32</v>
          </cell>
          <cell r="O3337" t="str">
            <v>FA-6K(SS)</v>
          </cell>
          <cell r="P3337" t="str">
            <v>HFMET190129B0340-107-114</v>
          </cell>
          <cell r="Q3337">
            <v>626</v>
          </cell>
          <cell r="R3337">
            <v>27.646799999999999</v>
          </cell>
        </row>
        <row r="3338">
          <cell r="E3338" t="str">
            <v>HFMET190129B0341-108-111</v>
          </cell>
          <cell r="F3338" t="str">
            <v>Meta 62，H05</v>
          </cell>
          <cell r="G3338">
            <v>18</v>
          </cell>
          <cell r="I3338">
            <v>598</v>
          </cell>
          <cell r="J3338">
            <v>0.49109999999999998</v>
          </cell>
          <cell r="K3338">
            <v>1.3504</v>
          </cell>
          <cell r="L3338" t="str">
            <v>不合格</v>
          </cell>
          <cell r="M3338" t="str">
            <v>张慧</v>
          </cell>
          <cell r="N3338" t="str">
            <v>2019 01 29  19-39-32</v>
          </cell>
          <cell r="O3338" t="str">
            <v>FA-6K(SS)</v>
          </cell>
          <cell r="P3338" t="str">
            <v>HFMET190129B0341-108-111</v>
          </cell>
          <cell r="Q3338">
            <v>598</v>
          </cell>
          <cell r="R3338">
            <v>0.49109999999999998</v>
          </cell>
        </row>
        <row r="3339">
          <cell r="E3339" t="str">
            <v>HFMET190129B0342-109-111</v>
          </cell>
          <cell r="F3339" t="str">
            <v>Meta 62，H06</v>
          </cell>
          <cell r="G3339">
            <v>18</v>
          </cell>
          <cell r="I3339">
            <v>611</v>
          </cell>
          <cell r="J3339">
            <v>32.5154</v>
          </cell>
          <cell r="K3339">
            <v>87.602999999999994</v>
          </cell>
          <cell r="L3339" t="str">
            <v>合格</v>
          </cell>
          <cell r="M3339" t="str">
            <v>张慧</v>
          </cell>
          <cell r="N3339" t="str">
            <v>2019 01 29  19-39-32</v>
          </cell>
          <cell r="O3339" t="str">
            <v>FA-6K(SS)</v>
          </cell>
          <cell r="P3339" t="str">
            <v>HFMET190129B0342-109-111</v>
          </cell>
          <cell r="Q3339">
            <v>611</v>
          </cell>
          <cell r="R3339">
            <v>32.5154</v>
          </cell>
        </row>
        <row r="3340">
          <cell r="E3340" t="str">
            <v>HFMET190129B0343-92-115</v>
          </cell>
          <cell r="F3340" t="str">
            <v>Meta 62，H07</v>
          </cell>
          <cell r="G3340">
            <v>18</v>
          </cell>
          <cell r="I3340">
            <v>593</v>
          </cell>
          <cell r="J3340">
            <v>6.0461999999999998</v>
          </cell>
          <cell r="K3340">
            <v>16.775200000000002</v>
          </cell>
          <cell r="L3340" t="str">
            <v>合格</v>
          </cell>
          <cell r="M3340" t="str">
            <v>张慧</v>
          </cell>
          <cell r="N3340" t="str">
            <v>2019 01 29  19-39-32</v>
          </cell>
          <cell r="O3340" t="str">
            <v>FA-6K(SS)</v>
          </cell>
          <cell r="P3340" t="str">
            <v>HFMET190129B0343-92-115</v>
          </cell>
          <cell r="Q3340">
            <v>593</v>
          </cell>
          <cell r="R3340">
            <v>6.0461999999999998</v>
          </cell>
        </row>
        <row r="3341">
          <cell r="E3341" t="str">
            <v>HFMET190129B0344-93-115</v>
          </cell>
          <cell r="F3341" t="str">
            <v>Meta 62，H08</v>
          </cell>
          <cell r="G3341">
            <v>18</v>
          </cell>
          <cell r="I3341">
            <v>598</v>
          </cell>
          <cell r="J3341">
            <v>20.983899999999998</v>
          </cell>
          <cell r="K3341">
            <v>57.719200000000001</v>
          </cell>
          <cell r="L3341" t="str">
            <v>合格</v>
          </cell>
          <cell r="M3341" t="str">
            <v>张慧</v>
          </cell>
          <cell r="N3341" t="str">
            <v>2019 01 29  19-39-32</v>
          </cell>
          <cell r="O3341" t="str">
            <v>FA-6K(SS)</v>
          </cell>
          <cell r="P3341" t="str">
            <v>HFMET190129B0344-93-115</v>
          </cell>
          <cell r="Q3341">
            <v>598</v>
          </cell>
          <cell r="R3341">
            <v>20.983899999999998</v>
          </cell>
        </row>
        <row r="3342">
          <cell r="E3342" t="str">
            <v>HFMET190129B0345-94-115</v>
          </cell>
          <cell r="F3342" t="str">
            <v>Meta 62，H09</v>
          </cell>
          <cell r="G3342">
            <v>18</v>
          </cell>
          <cell r="I3342">
            <v>591</v>
          </cell>
          <cell r="J3342">
            <v>1.6725000000000001</v>
          </cell>
          <cell r="K3342">
            <v>4.6573000000000002</v>
          </cell>
          <cell r="L3342" t="str">
            <v>合格</v>
          </cell>
          <cell r="M3342" t="str">
            <v>张慧</v>
          </cell>
          <cell r="N3342" t="str">
            <v>2019 01 29  19-39-32</v>
          </cell>
          <cell r="O3342" t="str">
            <v>FA-6K(SS)</v>
          </cell>
          <cell r="P3342" t="str">
            <v>HFMET190129B0345-94-115</v>
          </cell>
          <cell r="Q3342">
            <v>591</v>
          </cell>
          <cell r="R3342">
            <v>1.6725000000000001</v>
          </cell>
        </row>
        <row r="3343">
          <cell r="E3343" t="str">
            <v>HFMET190129B0346-95-115</v>
          </cell>
          <cell r="F3343" t="str">
            <v>Meta 62，H10</v>
          </cell>
          <cell r="G3343">
            <v>18</v>
          </cell>
          <cell r="I3343">
            <v>630</v>
          </cell>
          <cell r="J3343">
            <v>17.2896</v>
          </cell>
          <cell r="K3343">
            <v>45.132899999999999</v>
          </cell>
          <cell r="L3343" t="str">
            <v>合格</v>
          </cell>
          <cell r="M3343" t="str">
            <v>张慧</v>
          </cell>
          <cell r="N3343" t="str">
            <v>2019 01 29  19-39-32</v>
          </cell>
          <cell r="O3343" t="str">
            <v>FA-6K(SS)</v>
          </cell>
          <cell r="P3343" t="str">
            <v>HFMET190129B0346-95-115</v>
          </cell>
          <cell r="Q3343">
            <v>630</v>
          </cell>
          <cell r="R3343">
            <v>17.2896</v>
          </cell>
        </row>
        <row r="3344">
          <cell r="E3344" t="str">
            <v>HFMET190129B0347-96-115</v>
          </cell>
          <cell r="F3344" t="str">
            <v>Meta 62，H11</v>
          </cell>
          <cell r="G3344">
            <v>18</v>
          </cell>
          <cell r="I3344">
            <v>604</v>
          </cell>
          <cell r="J3344">
            <v>0.59370000000000001</v>
          </cell>
          <cell r="K3344">
            <v>1.6165</v>
          </cell>
          <cell r="L3344" t="str">
            <v>风险上机</v>
          </cell>
          <cell r="M3344" t="str">
            <v>张慧</v>
          </cell>
          <cell r="N3344" t="str">
            <v>2019 01 29  20-50-45</v>
          </cell>
          <cell r="O3344" t="str">
            <v>FA-6K(SS)</v>
          </cell>
          <cell r="P3344" t="str">
            <v>HFMET190129B0347-96-115</v>
          </cell>
          <cell r="Q3344">
            <v>604</v>
          </cell>
          <cell r="R3344">
            <v>0.59370000000000001</v>
          </cell>
        </row>
        <row r="3345">
          <cell r="E3345" t="str">
            <v>HFMET190129B0348-97-115</v>
          </cell>
          <cell r="F3345" t="str">
            <v>Meta 62，H12</v>
          </cell>
          <cell r="G3345">
            <v>18</v>
          </cell>
          <cell r="I3345">
            <v>631</v>
          </cell>
          <cell r="J3345">
            <v>3.2300000000000002E-2</v>
          </cell>
          <cell r="K3345">
            <v>8.4199999999999997E-2</v>
          </cell>
          <cell r="L3345" t="str">
            <v>不合格</v>
          </cell>
          <cell r="M3345" t="str">
            <v>张慧</v>
          </cell>
          <cell r="N3345" t="str">
            <v>2019 01 29  20-50-45</v>
          </cell>
          <cell r="O3345" t="str">
            <v>FA-6K(SS)</v>
          </cell>
          <cell r="P3345" t="str">
            <v>HFMET190129B0348-97-115</v>
          </cell>
          <cell r="Q3345">
            <v>631</v>
          </cell>
          <cell r="R3345">
            <v>3.2300000000000002E-2</v>
          </cell>
        </row>
        <row r="3346">
          <cell r="E3346" t="str">
            <v>HFMET190129B0349-98-115</v>
          </cell>
          <cell r="F3346" t="str">
            <v>Meta 63，A01</v>
          </cell>
          <cell r="G3346">
            <v>18</v>
          </cell>
          <cell r="I3346">
            <v>636</v>
          </cell>
          <cell r="J3346">
            <v>0.21779999999999999</v>
          </cell>
          <cell r="K3346">
            <v>0.56379999999999997</v>
          </cell>
          <cell r="L3346" t="str">
            <v>不合格</v>
          </cell>
          <cell r="M3346" t="str">
            <v>张慧</v>
          </cell>
          <cell r="N3346" t="str">
            <v>2019 01 29  20-50-45</v>
          </cell>
          <cell r="O3346" t="str">
            <v>FA-6K(SS)</v>
          </cell>
          <cell r="P3346" t="str">
            <v>HFMET190129B0349-98-115</v>
          </cell>
          <cell r="Q3346">
            <v>636</v>
          </cell>
          <cell r="R3346">
            <v>0.21779999999999999</v>
          </cell>
        </row>
        <row r="3347">
          <cell r="E3347" t="str">
            <v>HFMET190129B0350-99-115</v>
          </cell>
          <cell r="F3347" t="str">
            <v>Meta 63，A02</v>
          </cell>
          <cell r="G3347">
            <v>18</v>
          </cell>
          <cell r="I3347">
            <v>713</v>
          </cell>
          <cell r="J3347">
            <v>0.33779999999999999</v>
          </cell>
          <cell r="K3347">
            <v>0.77959999999999996</v>
          </cell>
          <cell r="L3347" t="str">
            <v>不合格</v>
          </cell>
          <cell r="M3347" t="str">
            <v>张慧</v>
          </cell>
          <cell r="N3347" t="str">
            <v>2019 01 29  20-50-45</v>
          </cell>
          <cell r="O3347" t="str">
            <v>FA-6K(SS)</v>
          </cell>
          <cell r="P3347" t="str">
            <v>HFMET190129B0350-99-115</v>
          </cell>
          <cell r="Q3347">
            <v>713</v>
          </cell>
          <cell r="R3347">
            <v>0.33779999999999999</v>
          </cell>
        </row>
        <row r="3348">
          <cell r="E3348" t="str">
            <v>HFMET190129B0351-100-115</v>
          </cell>
          <cell r="F3348" t="str">
            <v>Meta 63，A03</v>
          </cell>
          <cell r="G3348">
            <v>18</v>
          </cell>
          <cell r="I3348">
            <v>584</v>
          </cell>
          <cell r="J3348">
            <v>4.53E-2</v>
          </cell>
          <cell r="K3348">
            <v>0.1275</v>
          </cell>
          <cell r="L3348" t="str">
            <v>不合格</v>
          </cell>
          <cell r="M3348" t="str">
            <v>张慧</v>
          </cell>
          <cell r="N3348" t="str">
            <v>2019 01 29  20-50-45</v>
          </cell>
          <cell r="O3348" t="str">
            <v>FA-6K(SS)</v>
          </cell>
          <cell r="P3348" t="str">
            <v>HFMET190129B0351-100-115</v>
          </cell>
          <cell r="Q3348">
            <v>584</v>
          </cell>
          <cell r="R3348">
            <v>4.53E-2</v>
          </cell>
        </row>
        <row r="3349">
          <cell r="E3349" t="str">
            <v>HFMET190129B0352-101-115</v>
          </cell>
          <cell r="F3349" t="str">
            <v>Meta 63，A04</v>
          </cell>
          <cell r="G3349">
            <v>18</v>
          </cell>
          <cell r="I3349">
            <v>666</v>
          </cell>
          <cell r="J3349">
            <v>9.0300000000000005E-2</v>
          </cell>
          <cell r="K3349">
            <v>0.22309999999999999</v>
          </cell>
          <cell r="L3349" t="str">
            <v>不合格</v>
          </cell>
          <cell r="M3349" t="str">
            <v>张慧</v>
          </cell>
          <cell r="N3349" t="str">
            <v>2019 01 29  20-50-45</v>
          </cell>
          <cell r="O3349" t="str">
            <v>FA-6K(SS)</v>
          </cell>
          <cell r="P3349" t="str">
            <v>HFMET190129B0352-101-115</v>
          </cell>
          <cell r="Q3349">
            <v>666</v>
          </cell>
          <cell r="R3349">
            <v>9.0300000000000005E-2</v>
          </cell>
        </row>
        <row r="3350">
          <cell r="E3350" t="str">
            <v>HFMET190129B0353-102-115</v>
          </cell>
          <cell r="F3350" t="str">
            <v>Meta 63，A05</v>
          </cell>
          <cell r="G3350">
            <v>18</v>
          </cell>
          <cell r="I3350">
            <v>625</v>
          </cell>
          <cell r="J3350">
            <v>0.30280000000000001</v>
          </cell>
          <cell r="K3350">
            <v>0.79730000000000001</v>
          </cell>
          <cell r="L3350" t="str">
            <v>不合格</v>
          </cell>
          <cell r="M3350" t="str">
            <v>张慧</v>
          </cell>
          <cell r="N3350" t="str">
            <v>2019 01 29  20-50-45</v>
          </cell>
          <cell r="O3350" t="str">
            <v>FA-6K(SS)</v>
          </cell>
          <cell r="P3350" t="str">
            <v>HFMET190129B0353-102-115</v>
          </cell>
          <cell r="Q3350">
            <v>625</v>
          </cell>
          <cell r="R3350">
            <v>0.30280000000000001</v>
          </cell>
        </row>
        <row r="3351">
          <cell r="E3351" t="str">
            <v>HFMET190129B0354-103-115</v>
          </cell>
          <cell r="F3351" t="str">
            <v>Meta 63，A06</v>
          </cell>
          <cell r="G3351">
            <v>18</v>
          </cell>
          <cell r="I3351">
            <v>617</v>
          </cell>
          <cell r="J3351">
            <v>0.62090000000000001</v>
          </cell>
          <cell r="K3351">
            <v>1.6574</v>
          </cell>
          <cell r="L3351" t="str">
            <v>不合格</v>
          </cell>
          <cell r="M3351" t="str">
            <v>张慧</v>
          </cell>
          <cell r="N3351" t="str">
            <v>2019 01 29  20-50-45</v>
          </cell>
          <cell r="O3351" t="str">
            <v>FA-6K(SS)</v>
          </cell>
          <cell r="P3351" t="str">
            <v>HFMET190129B0354-103-115</v>
          </cell>
          <cell r="Q3351">
            <v>617</v>
          </cell>
          <cell r="R3351">
            <v>0.62090000000000001</v>
          </cell>
        </row>
        <row r="3352">
          <cell r="E3352" t="str">
            <v>HFMET190128B0355-101-115</v>
          </cell>
          <cell r="F3352" t="str">
            <v>Meta 63，A07</v>
          </cell>
          <cell r="G3352">
            <v>18</v>
          </cell>
          <cell r="I3352">
            <v>689</v>
          </cell>
          <cell r="J3352">
            <v>6.6500000000000004E-2</v>
          </cell>
          <cell r="K3352">
            <v>0.159</v>
          </cell>
          <cell r="L3352" t="str">
            <v>不合格</v>
          </cell>
          <cell r="M3352" t="str">
            <v>张慧</v>
          </cell>
          <cell r="N3352" t="str">
            <v>2019 01 29  20-50-45</v>
          </cell>
          <cell r="O3352" t="str">
            <v>FA-6K(SS)</v>
          </cell>
          <cell r="P3352" t="str">
            <v>HFMET190128B0355-101-115</v>
          </cell>
          <cell r="Q3352">
            <v>689</v>
          </cell>
          <cell r="R3352">
            <v>6.6500000000000004E-2</v>
          </cell>
        </row>
        <row r="3353">
          <cell r="E3353" t="str">
            <v>HFMET190128B0356-102-115</v>
          </cell>
          <cell r="F3353" t="str">
            <v>Meta 63，A08</v>
          </cell>
          <cell r="G3353">
            <v>18</v>
          </cell>
          <cell r="I3353">
            <v>573</v>
          </cell>
          <cell r="J3353">
            <v>5.16E-2</v>
          </cell>
          <cell r="K3353">
            <v>0.14829999999999999</v>
          </cell>
          <cell r="L3353" t="str">
            <v>不合格</v>
          </cell>
          <cell r="M3353" t="str">
            <v>张慧</v>
          </cell>
          <cell r="N3353" t="str">
            <v>2019 01 29  20-50-45</v>
          </cell>
          <cell r="O3353" t="str">
            <v>FA-6K(SS)</v>
          </cell>
          <cell r="P3353" t="str">
            <v>HFMET190128B0356-102-115</v>
          </cell>
          <cell r="Q3353">
            <v>573</v>
          </cell>
          <cell r="R3353">
            <v>5.16E-2</v>
          </cell>
        </row>
        <row r="3354">
          <cell r="E3354" t="str">
            <v>HFMET190128B0357-103-115</v>
          </cell>
          <cell r="F3354" t="str">
            <v>Meta 63，A09</v>
          </cell>
          <cell r="G3354">
            <v>18</v>
          </cell>
          <cell r="Q3354">
            <v>0</v>
          </cell>
          <cell r="R3354">
            <v>0</v>
          </cell>
        </row>
        <row r="3356">
          <cell r="E3356" t="str">
            <v>HFMET190301A0358-1-119</v>
          </cell>
          <cell r="F3356" t="str">
            <v>Meta 63，A10</v>
          </cell>
          <cell r="G3356">
            <v>18</v>
          </cell>
          <cell r="I3356">
            <v>639</v>
          </cell>
          <cell r="J3356">
            <v>7.67</v>
          </cell>
          <cell r="K3356">
            <v>17.48</v>
          </cell>
          <cell r="L3356" t="str">
            <v>合格</v>
          </cell>
          <cell r="M3356" t="str">
            <v>张慧</v>
          </cell>
          <cell r="N3356" t="str">
            <v>2019 03 01-2-A06</v>
          </cell>
          <cell r="O3356" t="str">
            <v>QSEP 100</v>
          </cell>
          <cell r="Q3356">
            <v>639</v>
          </cell>
          <cell r="R3356">
            <v>14.4963</v>
          </cell>
        </row>
        <row r="3357">
          <cell r="E3357" t="str">
            <v>HFMET190301A0359-16-119</v>
          </cell>
          <cell r="F3357" t="str">
            <v>Meta 63，A11</v>
          </cell>
          <cell r="G3357">
            <v>18</v>
          </cell>
          <cell r="I3357">
            <v>641</v>
          </cell>
          <cell r="J3357">
            <v>8.5299999999999994</v>
          </cell>
          <cell r="K3357">
            <v>19.13</v>
          </cell>
          <cell r="L3357" t="str">
            <v>合格</v>
          </cell>
          <cell r="M3357" t="str">
            <v>张慧</v>
          </cell>
          <cell r="N3357" t="str">
            <v>2019 03 01-2-A07</v>
          </cell>
          <cell r="O3357" t="str">
            <v>QSEP 100</v>
          </cell>
          <cell r="Q3357">
            <v>641</v>
          </cell>
          <cell r="R3357">
            <v>16.121700000000001</v>
          </cell>
        </row>
        <row r="3358">
          <cell r="E3358" t="str">
            <v>HFMET190301A0360-17-119</v>
          </cell>
          <cell r="F3358" t="str">
            <v>Meta 63，A12</v>
          </cell>
          <cell r="G3358">
            <v>18</v>
          </cell>
          <cell r="I3358">
            <v>636</v>
          </cell>
          <cell r="J3358">
            <v>11.16</v>
          </cell>
          <cell r="K3358">
            <v>24.98</v>
          </cell>
          <cell r="L3358" t="str">
            <v>合格</v>
          </cell>
          <cell r="M3358" t="str">
            <v>张慧</v>
          </cell>
          <cell r="N3358" t="str">
            <v>2019 03 01-2-A08</v>
          </cell>
          <cell r="O3358" t="str">
            <v>QSEP 100</v>
          </cell>
          <cell r="Q3358">
            <v>636</v>
          </cell>
          <cell r="R3358">
            <v>21.092400000000001</v>
          </cell>
        </row>
        <row r="3359">
          <cell r="E3359" t="str">
            <v>HFMET190301A0361-21-119</v>
          </cell>
          <cell r="F3359" t="str">
            <v>Meta 63，B01</v>
          </cell>
          <cell r="G3359">
            <v>18</v>
          </cell>
          <cell r="I3359">
            <v>674</v>
          </cell>
          <cell r="J3359">
            <v>9.93</v>
          </cell>
          <cell r="K3359">
            <v>21.96</v>
          </cell>
          <cell r="L3359" t="str">
            <v>合格</v>
          </cell>
          <cell r="M3359" t="str">
            <v>张慧</v>
          </cell>
          <cell r="N3359" t="str">
            <v>2019 03 01-2-A09</v>
          </cell>
          <cell r="O3359" t="str">
            <v>QSEP 100</v>
          </cell>
          <cell r="Q3359">
            <v>674</v>
          </cell>
          <cell r="R3359">
            <v>18.767700000000001</v>
          </cell>
        </row>
        <row r="3360">
          <cell r="E3360" t="str">
            <v>HFMET190301A0362-27-119</v>
          </cell>
          <cell r="F3360" t="str">
            <v>Meta 63，B02</v>
          </cell>
          <cell r="G3360">
            <v>18</v>
          </cell>
          <cell r="I3360">
            <v>665</v>
          </cell>
          <cell r="J3360">
            <v>8.09</v>
          </cell>
          <cell r="K3360">
            <v>17.88</v>
          </cell>
          <cell r="L3360" t="str">
            <v>合格</v>
          </cell>
          <cell r="M3360" t="str">
            <v>张慧</v>
          </cell>
          <cell r="N3360" t="str">
            <v>2019 03 01-2-A10</v>
          </cell>
          <cell r="O3360" t="str">
            <v>QSEP 100</v>
          </cell>
          <cell r="Q3360">
            <v>665</v>
          </cell>
          <cell r="R3360">
            <v>15.290100000000001</v>
          </cell>
        </row>
        <row r="3361">
          <cell r="E3361" t="str">
            <v>HFMET190301A0363-84-119</v>
          </cell>
          <cell r="F3361" t="str">
            <v>Meta 63，B03</v>
          </cell>
          <cell r="G3361">
            <v>18</v>
          </cell>
          <cell r="I3361">
            <v>653</v>
          </cell>
          <cell r="J3361">
            <v>7.87</v>
          </cell>
          <cell r="K3361">
            <v>17.3</v>
          </cell>
          <cell r="L3361" t="str">
            <v>合格</v>
          </cell>
          <cell r="M3361" t="str">
            <v>张慧</v>
          </cell>
          <cell r="N3361" t="str">
            <v>2019 03 01-2-A11</v>
          </cell>
          <cell r="O3361" t="str">
            <v>QSEP 100</v>
          </cell>
          <cell r="Q3361">
            <v>653</v>
          </cell>
          <cell r="R3361">
            <v>14.8743</v>
          </cell>
        </row>
        <row r="3362">
          <cell r="E3362" t="str">
            <v>HFMET190301A0364-85-119</v>
          </cell>
          <cell r="F3362" t="str">
            <v>Meta 63，B04</v>
          </cell>
          <cell r="G3362">
            <v>18</v>
          </cell>
          <cell r="I3362">
            <v>654</v>
          </cell>
          <cell r="J3362">
            <v>9.31</v>
          </cell>
          <cell r="K3362">
            <v>20.27</v>
          </cell>
          <cell r="L3362" t="str">
            <v>合格</v>
          </cell>
          <cell r="M3362" t="str">
            <v>张慧</v>
          </cell>
          <cell r="N3362" t="str">
            <v>2019 03 01-2-A12</v>
          </cell>
          <cell r="O3362" t="str">
            <v>QSEP 100</v>
          </cell>
          <cell r="Q3362">
            <v>654</v>
          </cell>
          <cell r="R3362">
            <v>17.5959</v>
          </cell>
        </row>
        <row r="3363">
          <cell r="E3363" t="str">
            <v>HFMET190301A0365-86-119</v>
          </cell>
          <cell r="F3363" t="str">
            <v>Meta 63，B05</v>
          </cell>
          <cell r="G3363">
            <v>18</v>
          </cell>
          <cell r="I3363">
            <v>656</v>
          </cell>
          <cell r="J3363">
            <v>8.93</v>
          </cell>
          <cell r="K3363">
            <v>19.82</v>
          </cell>
          <cell r="L3363" t="str">
            <v>合格</v>
          </cell>
          <cell r="M3363" t="str">
            <v>张慧</v>
          </cell>
          <cell r="N3363" t="str">
            <v>2019 03 01-2-B01</v>
          </cell>
          <cell r="O3363" t="str">
            <v>QSEP 100</v>
          </cell>
          <cell r="Q3363">
            <v>656</v>
          </cell>
          <cell r="R3363">
            <v>16.877700000000001</v>
          </cell>
        </row>
        <row r="3364">
          <cell r="E3364" t="str">
            <v>HFMET190301A0366-1-120</v>
          </cell>
          <cell r="F3364" t="str">
            <v>Meta 63，B06</v>
          </cell>
          <cell r="G3364">
            <v>18</v>
          </cell>
          <cell r="I3364">
            <v>631</v>
          </cell>
          <cell r="J3364">
            <v>12.11</v>
          </cell>
          <cell r="K3364">
            <v>27.44</v>
          </cell>
          <cell r="L3364" t="str">
            <v>合格</v>
          </cell>
          <cell r="M3364" t="str">
            <v>张慧</v>
          </cell>
          <cell r="N3364" t="str">
            <v>2019 03 01-2-B02</v>
          </cell>
          <cell r="O3364" t="str">
            <v>QSEP 100</v>
          </cell>
          <cell r="Q3364">
            <v>631</v>
          </cell>
          <cell r="R3364">
            <v>22.887899999999998</v>
          </cell>
        </row>
        <row r="3365">
          <cell r="E3365" t="str">
            <v>HFMET190301A0367-16-120</v>
          </cell>
          <cell r="F3365" t="str">
            <v>MetB 63，B07</v>
          </cell>
          <cell r="G3365">
            <v>18</v>
          </cell>
          <cell r="I3365">
            <v>651</v>
          </cell>
          <cell r="J3365">
            <v>7.22</v>
          </cell>
          <cell r="K3365">
            <v>16.13</v>
          </cell>
          <cell r="L3365" t="str">
            <v>合格</v>
          </cell>
          <cell r="M3365" t="str">
            <v>张慧</v>
          </cell>
          <cell r="N3365" t="str">
            <v>2019 03 01-2-B03</v>
          </cell>
          <cell r="O3365" t="str">
            <v>QSEP 100</v>
          </cell>
          <cell r="Q3365">
            <v>651</v>
          </cell>
          <cell r="R3365">
            <v>13.645799999999999</v>
          </cell>
        </row>
        <row r="3366">
          <cell r="E3366" t="str">
            <v>HFMET190301A0368-17-120</v>
          </cell>
          <cell r="F3366" t="str">
            <v>MetB 63，B08</v>
          </cell>
          <cell r="G3366">
            <v>18</v>
          </cell>
          <cell r="I3366">
            <v>634</v>
          </cell>
          <cell r="J3366">
            <v>11.22</v>
          </cell>
          <cell r="K3366">
            <v>25.32</v>
          </cell>
          <cell r="L3366" t="str">
            <v>合格</v>
          </cell>
          <cell r="M3366" t="str">
            <v>张慧</v>
          </cell>
          <cell r="N3366" t="str">
            <v>2019 03 01-2-B04</v>
          </cell>
          <cell r="O3366" t="str">
            <v>QSEP 100</v>
          </cell>
          <cell r="Q3366">
            <v>634</v>
          </cell>
          <cell r="R3366">
            <v>21.2058</v>
          </cell>
        </row>
        <row r="3367">
          <cell r="E3367" t="str">
            <v>HFMET190301A0369-21-120</v>
          </cell>
          <cell r="F3367" t="str">
            <v>MetB 63，B09</v>
          </cell>
          <cell r="G3367">
            <v>18</v>
          </cell>
          <cell r="I3367">
            <v>661</v>
          </cell>
          <cell r="J3367">
            <v>11.5</v>
          </cell>
          <cell r="K3367">
            <v>25.07</v>
          </cell>
          <cell r="L3367" t="str">
            <v>合格</v>
          </cell>
          <cell r="M3367" t="str">
            <v>张慧</v>
          </cell>
          <cell r="N3367" t="str">
            <v>2019 03 01-2-B05</v>
          </cell>
          <cell r="O3367" t="str">
            <v>QSEP 100</v>
          </cell>
          <cell r="Q3367">
            <v>661</v>
          </cell>
          <cell r="R3367">
            <v>21.734999999999999</v>
          </cell>
        </row>
        <row r="3368">
          <cell r="E3368" t="str">
            <v>HFMET190301A0370-27-120</v>
          </cell>
          <cell r="F3368" t="str">
            <v>MetB 63，B10</v>
          </cell>
          <cell r="G3368">
            <v>18</v>
          </cell>
          <cell r="I3368">
            <v>653</v>
          </cell>
          <cell r="J3368">
            <v>10.26</v>
          </cell>
          <cell r="K3368">
            <v>22.96</v>
          </cell>
          <cell r="L3368" t="str">
            <v>合格</v>
          </cell>
          <cell r="M3368" t="str">
            <v>张慧</v>
          </cell>
          <cell r="N3368" t="str">
            <v>2019 03 01-2-B06</v>
          </cell>
          <cell r="O3368" t="str">
            <v>QSEP 100</v>
          </cell>
          <cell r="Q3368">
            <v>653</v>
          </cell>
          <cell r="R3368">
            <v>19.391400000000001</v>
          </cell>
        </row>
        <row r="3369">
          <cell r="E3369" t="str">
            <v>HFMET190301A0371-84-120</v>
          </cell>
          <cell r="F3369" t="str">
            <v>MetB 63，B11</v>
          </cell>
          <cell r="G3369">
            <v>18</v>
          </cell>
          <cell r="I3369">
            <v>646</v>
          </cell>
          <cell r="J3369">
            <v>11.98</v>
          </cell>
          <cell r="K3369">
            <v>26.45</v>
          </cell>
          <cell r="L3369" t="str">
            <v>合格</v>
          </cell>
          <cell r="M3369" t="str">
            <v>张慧</v>
          </cell>
          <cell r="N3369" t="str">
            <v>2019 03 01-2-B07</v>
          </cell>
          <cell r="O3369" t="str">
            <v>QSEP 100</v>
          </cell>
          <cell r="Q3369">
            <v>646</v>
          </cell>
          <cell r="R3369">
            <v>22.642199999999999</v>
          </cell>
        </row>
        <row r="3370">
          <cell r="E3370" t="str">
            <v>HFMET190301A0372-85-120</v>
          </cell>
          <cell r="F3370" t="str">
            <v>MetB 63，B12</v>
          </cell>
          <cell r="G3370">
            <v>18</v>
          </cell>
          <cell r="I3370">
            <v>663</v>
          </cell>
          <cell r="J3370">
            <v>8.11</v>
          </cell>
          <cell r="K3370">
            <v>17.88</v>
          </cell>
          <cell r="L3370" t="str">
            <v>合格</v>
          </cell>
          <cell r="M3370" t="str">
            <v>张慧</v>
          </cell>
          <cell r="N3370" t="str">
            <v>2019 03 01-2-B08</v>
          </cell>
          <cell r="O3370" t="str">
            <v>QSEP 100</v>
          </cell>
          <cell r="Q3370">
            <v>663</v>
          </cell>
          <cell r="R3370">
            <v>15.3279</v>
          </cell>
        </row>
        <row r="3371">
          <cell r="E3371" t="str">
            <v>HFMET190301A0373-86-120</v>
          </cell>
          <cell r="F3371" t="str">
            <v>Meta 63，C01</v>
          </cell>
          <cell r="G3371">
            <v>18</v>
          </cell>
          <cell r="I3371">
            <v>658</v>
          </cell>
          <cell r="J3371">
            <v>10.62</v>
          </cell>
          <cell r="K3371">
            <v>23.27</v>
          </cell>
          <cell r="L3371" t="str">
            <v>合格</v>
          </cell>
          <cell r="M3371" t="str">
            <v>张慧</v>
          </cell>
          <cell r="N3371" t="str">
            <v>2019 03 01-2-B09</v>
          </cell>
          <cell r="O3371" t="str">
            <v>QSEP 100</v>
          </cell>
          <cell r="Q3371">
            <v>658</v>
          </cell>
          <cell r="R3371">
            <v>20.0718</v>
          </cell>
        </row>
        <row r="3372">
          <cell r="E3372" t="str">
            <v>HFMET190301A0374-1-121</v>
          </cell>
          <cell r="F3372" t="str">
            <v>Meta 63，C02</v>
          </cell>
          <cell r="G3372">
            <v>18</v>
          </cell>
          <cell r="I3372">
            <v>659</v>
          </cell>
          <cell r="J3372">
            <v>7.89</v>
          </cell>
          <cell r="K3372">
            <v>17.54</v>
          </cell>
          <cell r="L3372" t="str">
            <v>合格</v>
          </cell>
          <cell r="M3372" t="str">
            <v>张慧</v>
          </cell>
          <cell r="N3372" t="str">
            <v>2019 03 01-2-B10</v>
          </cell>
          <cell r="O3372" t="str">
            <v>QSEP 100</v>
          </cell>
          <cell r="Q3372">
            <v>659</v>
          </cell>
          <cell r="R3372">
            <v>14.912100000000001</v>
          </cell>
        </row>
        <row r="3373">
          <cell r="E3373" t="str">
            <v>HFMET190301A0375-16-121</v>
          </cell>
          <cell r="F3373" t="str">
            <v>Meta 63，C03</v>
          </cell>
          <cell r="G3373">
            <v>18</v>
          </cell>
          <cell r="I3373">
            <v>649</v>
          </cell>
          <cell r="J3373">
            <v>12.85</v>
          </cell>
          <cell r="K3373">
            <v>28.56</v>
          </cell>
          <cell r="L3373" t="str">
            <v>合格</v>
          </cell>
          <cell r="M3373" t="str">
            <v>张慧</v>
          </cell>
          <cell r="N3373" t="str">
            <v>2019 03 01-2-B11</v>
          </cell>
          <cell r="O3373" t="str">
            <v>QSEP 100</v>
          </cell>
          <cell r="Q3373">
            <v>649</v>
          </cell>
          <cell r="R3373">
            <v>24.2865</v>
          </cell>
        </row>
        <row r="3374">
          <cell r="E3374" t="str">
            <v>HFMET190301A0376-17-121</v>
          </cell>
          <cell r="F3374" t="str">
            <v>Meta 63，C04</v>
          </cell>
          <cell r="G3374">
            <v>18</v>
          </cell>
          <cell r="I3374">
            <v>651</v>
          </cell>
          <cell r="J3374">
            <v>12</v>
          </cell>
          <cell r="K3374">
            <v>26.52</v>
          </cell>
          <cell r="L3374" t="str">
            <v>合格</v>
          </cell>
          <cell r="M3374" t="str">
            <v>张慧</v>
          </cell>
          <cell r="N3374" t="str">
            <v>2019 03 01-2-B12</v>
          </cell>
          <cell r="O3374" t="str">
            <v>QSEP 100</v>
          </cell>
          <cell r="Q3374">
            <v>651</v>
          </cell>
          <cell r="R3374">
            <v>22.68</v>
          </cell>
        </row>
        <row r="3375">
          <cell r="E3375" t="str">
            <v>HFMET190301A0377-21-121</v>
          </cell>
          <cell r="F3375" t="str">
            <v>Meta 63，C05</v>
          </cell>
          <cell r="G3375">
            <v>18</v>
          </cell>
          <cell r="I3375">
            <v>650</v>
          </cell>
          <cell r="J3375">
            <v>9.15</v>
          </cell>
          <cell r="K3375">
            <v>20.21</v>
          </cell>
          <cell r="L3375" t="str">
            <v>合格</v>
          </cell>
          <cell r="M3375" t="str">
            <v>张慧</v>
          </cell>
          <cell r="N3375" t="str">
            <v>2019 03 01-2-C01</v>
          </cell>
          <cell r="O3375" t="str">
            <v>QSEP 100</v>
          </cell>
          <cell r="Q3375">
            <v>650</v>
          </cell>
          <cell r="R3375">
            <v>17.293500000000002</v>
          </cell>
        </row>
        <row r="3376">
          <cell r="E3376" t="str">
            <v>HFMET190301A0378-27-121</v>
          </cell>
          <cell r="F3376" t="str">
            <v>Meta 63，C06</v>
          </cell>
          <cell r="G3376">
            <v>18</v>
          </cell>
          <cell r="I3376">
            <v>662</v>
          </cell>
          <cell r="J3376">
            <v>7.03</v>
          </cell>
          <cell r="K3376">
            <v>15.63</v>
          </cell>
          <cell r="L3376" t="str">
            <v>合格</v>
          </cell>
          <cell r="M3376" t="str">
            <v>张慧</v>
          </cell>
          <cell r="N3376" t="str">
            <v>2019 03 01-2-C02</v>
          </cell>
          <cell r="O3376" t="str">
            <v>QSEP 100</v>
          </cell>
          <cell r="Q3376">
            <v>662</v>
          </cell>
          <cell r="R3376">
            <v>13.2867</v>
          </cell>
        </row>
        <row r="3377">
          <cell r="E3377" t="str">
            <v>HFMET190301A0379-84-121</v>
          </cell>
          <cell r="F3377" t="str">
            <v>Meta 63，C07</v>
          </cell>
          <cell r="G3377">
            <v>18</v>
          </cell>
          <cell r="I3377">
            <v>665</v>
          </cell>
          <cell r="J3377">
            <v>6.91</v>
          </cell>
          <cell r="K3377">
            <v>15.2</v>
          </cell>
          <cell r="L3377" t="str">
            <v>合格</v>
          </cell>
          <cell r="M3377" t="str">
            <v>张慧</v>
          </cell>
          <cell r="N3377" t="str">
            <v>2019 03 01-2-C03</v>
          </cell>
          <cell r="O3377" t="str">
            <v>QSEP 100</v>
          </cell>
          <cell r="Q3377">
            <v>665</v>
          </cell>
          <cell r="R3377">
            <v>13.059900000000001</v>
          </cell>
        </row>
        <row r="3378">
          <cell r="E3378" t="str">
            <v>HFMET190301A0380-85-121</v>
          </cell>
          <cell r="F3378" t="str">
            <v>Meta 63，C08</v>
          </cell>
          <cell r="G3378">
            <v>18</v>
          </cell>
          <cell r="I3378">
            <v>661</v>
          </cell>
          <cell r="J3378">
            <v>9.02</v>
          </cell>
          <cell r="K3378">
            <v>19.77</v>
          </cell>
          <cell r="L3378" t="str">
            <v>合格</v>
          </cell>
          <cell r="M3378" t="str">
            <v>张慧</v>
          </cell>
          <cell r="N3378" t="str">
            <v>2019 03 01-2-C04</v>
          </cell>
          <cell r="O3378" t="str">
            <v>QSEP 100</v>
          </cell>
          <cell r="Q3378">
            <v>661</v>
          </cell>
          <cell r="R3378">
            <v>17.047799999999999</v>
          </cell>
        </row>
        <row r="3379">
          <cell r="E3379" t="str">
            <v>HFMET190301A0381-86-121</v>
          </cell>
          <cell r="F3379" t="str">
            <v>Meta 63，C09</v>
          </cell>
          <cell r="G3379">
            <v>18</v>
          </cell>
          <cell r="I3379">
            <v>664</v>
          </cell>
          <cell r="J3379">
            <v>8.8699999999999992</v>
          </cell>
          <cell r="K3379">
            <v>19.25</v>
          </cell>
          <cell r="L3379" t="str">
            <v>合格</v>
          </cell>
          <cell r="M3379" t="str">
            <v>张慧</v>
          </cell>
          <cell r="N3379" t="str">
            <v>2019 03 01-2-C05</v>
          </cell>
          <cell r="O3379" t="str">
            <v>QSEP 100</v>
          </cell>
          <cell r="Q3379">
            <v>664</v>
          </cell>
          <cell r="R3379">
            <v>16.764299999999999</v>
          </cell>
        </row>
        <row r="3380">
          <cell r="E3380" t="str">
            <v>HFMET190301A0382-1-122</v>
          </cell>
          <cell r="F3380" t="str">
            <v>Meta 63，C10</v>
          </cell>
          <cell r="G3380">
            <v>18</v>
          </cell>
          <cell r="I3380">
            <v>649</v>
          </cell>
          <cell r="J3380">
            <v>9.9700000000000006</v>
          </cell>
          <cell r="K3380">
            <v>22.28</v>
          </cell>
          <cell r="L3380" t="str">
            <v>合格</v>
          </cell>
          <cell r="M3380" t="str">
            <v>张慧</v>
          </cell>
          <cell r="N3380" t="str">
            <v>2019 03 01-2-C06</v>
          </cell>
          <cell r="O3380" t="str">
            <v>QSEP 100</v>
          </cell>
          <cell r="Q3380">
            <v>649</v>
          </cell>
          <cell r="R3380">
            <v>18.843299999999999</v>
          </cell>
        </row>
        <row r="3381">
          <cell r="E3381" t="str">
            <v>HFMET190301A0383-16-122</v>
          </cell>
          <cell r="F3381" t="str">
            <v>Meta 63，C11</v>
          </cell>
          <cell r="G3381">
            <v>18</v>
          </cell>
          <cell r="I3381">
            <v>612</v>
          </cell>
          <cell r="J3381">
            <v>13.3</v>
          </cell>
          <cell r="K3381">
            <v>31.17</v>
          </cell>
          <cell r="L3381" t="str">
            <v>合格</v>
          </cell>
          <cell r="M3381" t="str">
            <v>张慧</v>
          </cell>
          <cell r="N3381" t="str">
            <v>2019 03 01-2-C07</v>
          </cell>
          <cell r="O3381" t="str">
            <v>QSEP 100</v>
          </cell>
          <cell r="Q3381">
            <v>612</v>
          </cell>
          <cell r="R3381">
            <v>25.137</v>
          </cell>
        </row>
        <row r="3382">
          <cell r="E3382" t="str">
            <v>HFMET190301A0384-17-122</v>
          </cell>
          <cell r="F3382" t="str">
            <v>Meta 63，C12</v>
          </cell>
          <cell r="G3382">
            <v>18</v>
          </cell>
          <cell r="I3382">
            <v>616</v>
          </cell>
          <cell r="J3382">
            <v>12.7</v>
          </cell>
          <cell r="K3382">
            <v>29.19</v>
          </cell>
          <cell r="L3382" t="str">
            <v>合格</v>
          </cell>
          <cell r="M3382" t="str">
            <v>张慧</v>
          </cell>
          <cell r="N3382" t="str">
            <v>2019 03 01-2-C08</v>
          </cell>
          <cell r="O3382" t="str">
            <v>QSEP 100</v>
          </cell>
          <cell r="Q3382">
            <v>616</v>
          </cell>
          <cell r="R3382">
            <v>24.003</v>
          </cell>
        </row>
        <row r="3383">
          <cell r="E3383" t="str">
            <v>HFMET190301A0385-21-122</v>
          </cell>
          <cell r="F3383" t="str">
            <v>Meta 63，D01</v>
          </cell>
          <cell r="G3383">
            <v>18</v>
          </cell>
          <cell r="I3383">
            <v>647</v>
          </cell>
          <cell r="J3383">
            <v>10.45</v>
          </cell>
          <cell r="K3383">
            <v>23.4</v>
          </cell>
          <cell r="L3383" t="str">
            <v>合格</v>
          </cell>
          <cell r="M3383" t="str">
            <v>张慧</v>
          </cell>
          <cell r="N3383" t="str">
            <v>2019 03 01-2-C09</v>
          </cell>
          <cell r="O3383" t="str">
            <v>QSEP 100</v>
          </cell>
          <cell r="Q3383">
            <v>647</v>
          </cell>
          <cell r="R3383">
            <v>19.750499999999999</v>
          </cell>
        </row>
        <row r="3384">
          <cell r="E3384" t="str">
            <v>HFMET190301A0386-27-122</v>
          </cell>
          <cell r="F3384" t="str">
            <v>Meta 63，D02</v>
          </cell>
          <cell r="G3384">
            <v>18</v>
          </cell>
          <cell r="I3384">
            <v>629</v>
          </cell>
          <cell r="J3384">
            <v>10.210000000000001</v>
          </cell>
          <cell r="K3384">
            <v>23.47</v>
          </cell>
          <cell r="L3384" t="str">
            <v>合格</v>
          </cell>
          <cell r="M3384" t="str">
            <v>张慧</v>
          </cell>
          <cell r="N3384" t="str">
            <v>2019 03 01-2-C10</v>
          </cell>
          <cell r="O3384" t="str">
            <v>QSEP 100</v>
          </cell>
          <cell r="Q3384">
            <v>629</v>
          </cell>
          <cell r="R3384">
            <v>19.296900000000001</v>
          </cell>
        </row>
        <row r="3385">
          <cell r="E3385" t="str">
            <v>HFMET190301A0387-84-122</v>
          </cell>
          <cell r="F3385" t="str">
            <v>Meta 63，D03</v>
          </cell>
          <cell r="G3385">
            <v>18</v>
          </cell>
          <cell r="I3385">
            <v>634</v>
          </cell>
          <cell r="J3385">
            <v>11.85</v>
          </cell>
          <cell r="K3385">
            <v>26.83</v>
          </cell>
          <cell r="L3385" t="str">
            <v>合格</v>
          </cell>
          <cell r="M3385" t="str">
            <v>张慧</v>
          </cell>
          <cell r="N3385" t="str">
            <v>2019 03 01-2-C11</v>
          </cell>
          <cell r="O3385" t="str">
            <v>QSEP 100</v>
          </cell>
          <cell r="Q3385">
            <v>634</v>
          </cell>
          <cell r="R3385">
            <v>22.3965</v>
          </cell>
        </row>
        <row r="3386">
          <cell r="E3386" t="str">
            <v>HFMET190301A0388-85-122</v>
          </cell>
          <cell r="F3386" t="str">
            <v>Meta 63，D04</v>
          </cell>
          <cell r="G3386">
            <v>18</v>
          </cell>
          <cell r="I3386">
            <v>653</v>
          </cell>
          <cell r="J3386">
            <v>11.47</v>
          </cell>
          <cell r="K3386">
            <v>25.4</v>
          </cell>
          <cell r="L3386" t="str">
            <v>合格</v>
          </cell>
          <cell r="M3386" t="str">
            <v>张慧</v>
          </cell>
          <cell r="N3386" t="str">
            <v>2019 03 01-2-C12</v>
          </cell>
          <cell r="O3386" t="str">
            <v>QSEP 100</v>
          </cell>
          <cell r="Q3386">
            <v>653</v>
          </cell>
          <cell r="R3386">
            <v>21.6783</v>
          </cell>
        </row>
        <row r="3387">
          <cell r="E3387" t="str">
            <v>HFMET190301A0389-86-122</v>
          </cell>
          <cell r="F3387" t="str">
            <v>Meta 63，D05</v>
          </cell>
          <cell r="G3387">
            <v>18</v>
          </cell>
          <cell r="I3387">
            <v>662</v>
          </cell>
          <cell r="J3387">
            <v>11.93</v>
          </cell>
          <cell r="K3387">
            <v>26.22</v>
          </cell>
          <cell r="L3387" t="str">
            <v>合格</v>
          </cell>
          <cell r="M3387" t="str">
            <v>张慧</v>
          </cell>
          <cell r="N3387" t="str">
            <v>2019 03 01-2-D01</v>
          </cell>
          <cell r="O3387" t="str">
            <v>QSEP 100</v>
          </cell>
          <cell r="Q3387">
            <v>662</v>
          </cell>
          <cell r="R3387">
            <v>22.547699999999999</v>
          </cell>
        </row>
        <row r="3388">
          <cell r="E3388" t="str">
            <v>HFMET190301A0390-1-123</v>
          </cell>
          <cell r="F3388" t="str">
            <v>Meta 63，D06</v>
          </cell>
          <cell r="G3388">
            <v>18</v>
          </cell>
          <cell r="I3388">
            <v>694</v>
          </cell>
          <cell r="J3388">
            <v>9.48</v>
          </cell>
          <cell r="K3388">
            <v>20.79</v>
          </cell>
          <cell r="L3388" t="str">
            <v>合格</v>
          </cell>
          <cell r="M3388" t="str">
            <v>张慧</v>
          </cell>
          <cell r="N3388" t="str">
            <v>2019 03 01-2-D02</v>
          </cell>
          <cell r="O3388" t="str">
            <v>QSEP 100</v>
          </cell>
          <cell r="Q3388">
            <v>694</v>
          </cell>
          <cell r="R3388">
            <v>17.917200000000001</v>
          </cell>
        </row>
        <row r="3389">
          <cell r="E3389" t="str">
            <v>HFMET190301A0391-16-123</v>
          </cell>
          <cell r="F3389" t="str">
            <v>Meta 63，D07</v>
          </cell>
          <cell r="G3389">
            <v>18</v>
          </cell>
          <cell r="I3389">
            <v>703</v>
          </cell>
          <cell r="J3389">
            <v>10.54</v>
          </cell>
          <cell r="K3389">
            <v>22.94</v>
          </cell>
          <cell r="L3389" t="str">
            <v>合格</v>
          </cell>
          <cell r="M3389" t="str">
            <v>张慧</v>
          </cell>
          <cell r="N3389" t="str">
            <v>2019 03 01-2-D03</v>
          </cell>
          <cell r="O3389" t="str">
            <v>QSEP 100</v>
          </cell>
          <cell r="Q3389">
            <v>703</v>
          </cell>
          <cell r="R3389">
            <v>19.9206</v>
          </cell>
        </row>
        <row r="3390">
          <cell r="E3390" t="str">
            <v>HFMET190301A0392-17-123</v>
          </cell>
          <cell r="F3390" t="str">
            <v>Meta 63，D08</v>
          </cell>
          <cell r="G3390">
            <v>18</v>
          </cell>
          <cell r="I3390">
            <v>656</v>
          </cell>
          <cell r="J3390">
            <v>11.25</v>
          </cell>
          <cell r="K3390">
            <v>24.85</v>
          </cell>
          <cell r="L3390" t="str">
            <v>合格</v>
          </cell>
          <cell r="M3390" t="str">
            <v>张慧</v>
          </cell>
          <cell r="N3390" t="str">
            <v>2019 03 01-2-D04</v>
          </cell>
          <cell r="O3390" t="str">
            <v>QSEP 100</v>
          </cell>
          <cell r="Q3390">
            <v>656</v>
          </cell>
          <cell r="R3390">
            <v>21.262499999999999</v>
          </cell>
        </row>
        <row r="3391">
          <cell r="E3391" t="str">
            <v>HFMET190301A0393-21-123</v>
          </cell>
          <cell r="F3391" t="str">
            <v>Meta 63，D09</v>
          </cell>
          <cell r="G3391">
            <v>18</v>
          </cell>
          <cell r="I3391">
            <v>638</v>
          </cell>
          <cell r="J3391">
            <v>12.88</v>
          </cell>
          <cell r="K3391">
            <v>29.07</v>
          </cell>
          <cell r="L3391" t="str">
            <v>合格</v>
          </cell>
          <cell r="M3391" t="str">
            <v>张慧</v>
          </cell>
          <cell r="N3391" t="str">
            <v>2019 03 01-2-D05</v>
          </cell>
          <cell r="O3391" t="str">
            <v>QSEP 100</v>
          </cell>
          <cell r="Q3391">
            <v>638</v>
          </cell>
          <cell r="R3391">
            <v>24.3432</v>
          </cell>
        </row>
        <row r="3392">
          <cell r="E3392" t="str">
            <v>HFMET190301A0394-27-123</v>
          </cell>
          <cell r="F3392" t="str">
            <v>Meta 63，D10</v>
          </cell>
          <cell r="G3392">
            <v>18</v>
          </cell>
          <cell r="I3392">
            <v>654</v>
          </cell>
          <cell r="J3392">
            <v>8.41</v>
          </cell>
          <cell r="K3392">
            <v>19.079999999999998</v>
          </cell>
          <cell r="L3392" t="str">
            <v>合格</v>
          </cell>
          <cell r="M3392" t="str">
            <v>张慧</v>
          </cell>
          <cell r="N3392" t="str">
            <v>2019 03 01-2-D06</v>
          </cell>
          <cell r="O3392" t="str">
            <v>QSEP 100</v>
          </cell>
          <cell r="Q3392">
            <v>654</v>
          </cell>
          <cell r="R3392">
            <v>15.8949</v>
          </cell>
        </row>
        <row r="3393">
          <cell r="E3393" t="str">
            <v>HFMET190301A0395-84-123</v>
          </cell>
          <cell r="F3393" t="str">
            <v>Meta 63，D11</v>
          </cell>
          <cell r="G3393">
            <v>18</v>
          </cell>
          <cell r="I3393">
            <v>659</v>
          </cell>
          <cell r="J3393">
            <v>10.65</v>
          </cell>
          <cell r="K3393">
            <v>23.5</v>
          </cell>
          <cell r="L3393" t="str">
            <v>合格</v>
          </cell>
          <cell r="M3393" t="str">
            <v>张慧</v>
          </cell>
          <cell r="N3393" t="str">
            <v>2019 03 01-2-D07</v>
          </cell>
          <cell r="O3393" t="str">
            <v>QSEP 100</v>
          </cell>
          <cell r="Q3393">
            <v>659</v>
          </cell>
          <cell r="R3393">
            <v>20.128499999999999</v>
          </cell>
        </row>
        <row r="3394">
          <cell r="E3394" t="str">
            <v>HFMET190301A0396-85-123</v>
          </cell>
          <cell r="F3394" t="str">
            <v>Meta 63，D12</v>
          </cell>
          <cell r="G3394">
            <v>18</v>
          </cell>
          <cell r="I3394">
            <v>635</v>
          </cell>
          <cell r="J3394">
            <v>11.29</v>
          </cell>
          <cell r="K3394">
            <v>25.93</v>
          </cell>
          <cell r="L3394" t="str">
            <v>合格</v>
          </cell>
          <cell r="M3394" t="str">
            <v>张慧</v>
          </cell>
          <cell r="N3394" t="str">
            <v>2019 03 01-2-D08</v>
          </cell>
          <cell r="O3394" t="str">
            <v>QSEP 100</v>
          </cell>
          <cell r="Q3394">
            <v>635</v>
          </cell>
          <cell r="R3394">
            <v>21.338100000000001</v>
          </cell>
        </row>
        <row r="3395">
          <cell r="E3395" t="str">
            <v>HFMET190301A0397-86-123</v>
          </cell>
          <cell r="F3395" t="str">
            <v>Meta 63，E01</v>
          </cell>
          <cell r="G3395">
            <v>18</v>
          </cell>
          <cell r="I3395">
            <v>651</v>
          </cell>
          <cell r="J3395">
            <v>10.36</v>
          </cell>
          <cell r="K3395">
            <v>23.29</v>
          </cell>
          <cell r="L3395" t="str">
            <v>合格</v>
          </cell>
          <cell r="M3395" t="str">
            <v>张慧</v>
          </cell>
          <cell r="N3395" t="str">
            <v>2019 03 01-2-D09</v>
          </cell>
          <cell r="O3395" t="str">
            <v>QSEP 100</v>
          </cell>
          <cell r="Q3395">
            <v>651</v>
          </cell>
          <cell r="R3395">
            <v>19.580400000000001</v>
          </cell>
        </row>
        <row r="3396">
          <cell r="E3396" t="str">
            <v>HFMET190301A0398-1-124</v>
          </cell>
          <cell r="F3396" t="str">
            <v>Meta 63，E02</v>
          </cell>
          <cell r="G3396">
            <v>18</v>
          </cell>
          <cell r="I3396">
            <v>665</v>
          </cell>
          <cell r="J3396">
            <v>7.8</v>
          </cell>
          <cell r="K3396">
            <v>17.28</v>
          </cell>
          <cell r="L3396" t="str">
            <v>合格</v>
          </cell>
          <cell r="M3396" t="str">
            <v>张慧</v>
          </cell>
          <cell r="N3396" t="str">
            <v>2019 03 01-2-D10</v>
          </cell>
          <cell r="O3396" t="str">
            <v>QSEP 100</v>
          </cell>
          <cell r="Q3396">
            <v>665</v>
          </cell>
          <cell r="R3396">
            <v>14.742000000000001</v>
          </cell>
        </row>
        <row r="3397">
          <cell r="E3397" t="str">
            <v>HFMET190301A0399-16-124</v>
          </cell>
          <cell r="F3397" t="str">
            <v>Meta 63，E03</v>
          </cell>
          <cell r="G3397">
            <v>18</v>
          </cell>
          <cell r="I3397">
            <v>608</v>
          </cell>
          <cell r="J3397">
            <v>15.79</v>
          </cell>
          <cell r="K3397">
            <v>36.770000000000003</v>
          </cell>
          <cell r="L3397" t="str">
            <v>合格</v>
          </cell>
          <cell r="M3397" t="str">
            <v>张慧</v>
          </cell>
          <cell r="N3397" t="str">
            <v>2019 03 01-2-D11</v>
          </cell>
          <cell r="O3397" t="str">
            <v>QSEP 100</v>
          </cell>
          <cell r="Q3397">
            <v>608</v>
          </cell>
          <cell r="R3397">
            <v>29.8431</v>
          </cell>
        </row>
        <row r="3398">
          <cell r="E3398" t="str">
            <v>HFMET190301A0400-17-124</v>
          </cell>
          <cell r="F3398" t="str">
            <v>Meta 63，E04</v>
          </cell>
          <cell r="G3398">
            <v>18</v>
          </cell>
          <cell r="I3398">
            <v>610</v>
          </cell>
          <cell r="J3398">
            <v>15.91</v>
          </cell>
          <cell r="K3398">
            <v>36.5</v>
          </cell>
          <cell r="L3398" t="str">
            <v>合格</v>
          </cell>
          <cell r="M3398" t="str">
            <v>张慧</v>
          </cell>
          <cell r="N3398" t="str">
            <v>2019 03 01-2-D12</v>
          </cell>
          <cell r="O3398" t="str">
            <v>QSEP 100</v>
          </cell>
          <cell r="Q3398">
            <v>610</v>
          </cell>
          <cell r="R3398">
            <v>30.069900000000001</v>
          </cell>
        </row>
        <row r="3399">
          <cell r="E3399" t="str">
            <v>HFMET190301A0401-21-124</v>
          </cell>
          <cell r="F3399" t="str">
            <v>Meta 63，E05</v>
          </cell>
          <cell r="G3399">
            <v>18</v>
          </cell>
          <cell r="I3399">
            <v>590</v>
          </cell>
          <cell r="J3399">
            <v>21</v>
          </cell>
          <cell r="K3399">
            <v>49.4</v>
          </cell>
          <cell r="L3399" t="str">
            <v>合格</v>
          </cell>
          <cell r="M3399" t="str">
            <v>张慧</v>
          </cell>
          <cell r="N3399" t="str">
            <v>2019 03 01-2-E01</v>
          </cell>
          <cell r="O3399" t="str">
            <v>QSEP 100</v>
          </cell>
          <cell r="Q3399">
            <v>590</v>
          </cell>
          <cell r="R3399">
            <v>39.69</v>
          </cell>
        </row>
        <row r="3400">
          <cell r="E3400" t="str">
            <v>HFMET190301A0402-27-124</v>
          </cell>
          <cell r="F3400" t="str">
            <v>Meta 63，E06</v>
          </cell>
          <cell r="G3400">
            <v>18</v>
          </cell>
          <cell r="I3400">
            <v>654</v>
          </cell>
          <cell r="J3400">
            <v>10.23</v>
          </cell>
          <cell r="K3400">
            <v>22.59</v>
          </cell>
          <cell r="L3400" t="str">
            <v>合格</v>
          </cell>
          <cell r="M3400" t="str">
            <v>张慧</v>
          </cell>
          <cell r="N3400" t="str">
            <v>2019 03 01-2-E02</v>
          </cell>
          <cell r="O3400" t="str">
            <v>QSEP 100</v>
          </cell>
          <cell r="Q3400">
            <v>654</v>
          </cell>
          <cell r="R3400">
            <v>19.334700000000002</v>
          </cell>
        </row>
        <row r="3401">
          <cell r="E3401" t="str">
            <v>HFMET190301A0403-84-124</v>
          </cell>
          <cell r="F3401" t="str">
            <v>Meta 63，E07</v>
          </cell>
          <cell r="G3401">
            <v>18</v>
          </cell>
          <cell r="I3401">
            <v>658</v>
          </cell>
          <cell r="J3401">
            <v>13.61</v>
          </cell>
          <cell r="K3401">
            <v>30.28</v>
          </cell>
          <cell r="L3401" t="str">
            <v>合格</v>
          </cell>
          <cell r="M3401" t="str">
            <v>张慧</v>
          </cell>
          <cell r="N3401" t="str">
            <v>2019 03 01-2-E03</v>
          </cell>
          <cell r="O3401" t="str">
            <v>QSEP 100</v>
          </cell>
          <cell r="Q3401">
            <v>658</v>
          </cell>
          <cell r="R3401">
            <v>25.722899999999999</v>
          </cell>
        </row>
        <row r="3402">
          <cell r="E3402" t="str">
            <v>HFMET190301A0404-85-124</v>
          </cell>
          <cell r="F3402" t="str">
            <v>Meta 63，E08</v>
          </cell>
          <cell r="G3402">
            <v>18</v>
          </cell>
          <cell r="I3402">
            <v>635</v>
          </cell>
          <cell r="J3402">
            <v>19.37</v>
          </cell>
          <cell r="K3402">
            <v>43.17</v>
          </cell>
          <cell r="L3402" t="str">
            <v>合格</v>
          </cell>
          <cell r="M3402" t="str">
            <v>张慧</v>
          </cell>
          <cell r="N3402" t="str">
            <v>2019 03 01-2-E04</v>
          </cell>
          <cell r="O3402" t="str">
            <v>QSEP 100</v>
          </cell>
          <cell r="Q3402">
            <v>635</v>
          </cell>
          <cell r="R3402">
            <v>36.609299999999998</v>
          </cell>
        </row>
        <row r="3403">
          <cell r="E3403" t="str">
            <v>HFMET190301A0405-86-124</v>
          </cell>
          <cell r="F3403" t="str">
            <v>Meta 63，E09</v>
          </cell>
          <cell r="G3403">
            <v>18</v>
          </cell>
          <cell r="I3403">
            <v>549</v>
          </cell>
          <cell r="J3403">
            <v>24.48</v>
          </cell>
          <cell r="K3403">
            <v>60.67</v>
          </cell>
          <cell r="L3403" t="str">
            <v>合格</v>
          </cell>
          <cell r="M3403" t="str">
            <v>张慧</v>
          </cell>
          <cell r="N3403" t="str">
            <v>2019 03 01-2-E05</v>
          </cell>
          <cell r="O3403" t="str">
            <v>QSEP 100</v>
          </cell>
          <cell r="Q3403">
            <v>549</v>
          </cell>
          <cell r="R3403">
            <v>46.267200000000003</v>
          </cell>
        </row>
        <row r="3404">
          <cell r="E3404" t="str">
            <v>HFMET190301A0406-1-125</v>
          </cell>
          <cell r="F3404" t="str">
            <v>Meta 63，E10</v>
          </cell>
          <cell r="G3404">
            <v>18</v>
          </cell>
          <cell r="I3404">
            <v>528</v>
          </cell>
          <cell r="J3404">
            <v>35.81</v>
          </cell>
          <cell r="K3404">
            <v>91.33</v>
          </cell>
          <cell r="L3404" t="str">
            <v>合格</v>
          </cell>
          <cell r="M3404" t="str">
            <v>张慧</v>
          </cell>
          <cell r="N3404" t="str">
            <v>2019 03 01-2-E06</v>
          </cell>
          <cell r="O3404" t="str">
            <v>QSEP 100</v>
          </cell>
          <cell r="Q3404">
            <v>528</v>
          </cell>
          <cell r="R3404">
            <v>67.680899999999994</v>
          </cell>
        </row>
        <row r="3405">
          <cell r="E3405" t="str">
            <v>HFMET190301A0407-16-125</v>
          </cell>
          <cell r="F3405" t="str">
            <v>Meta 63，E11</v>
          </cell>
          <cell r="G3405">
            <v>18</v>
          </cell>
          <cell r="I3405">
            <v>628</v>
          </cell>
          <cell r="J3405">
            <v>14.73</v>
          </cell>
          <cell r="K3405">
            <v>33.24</v>
          </cell>
          <cell r="L3405" t="str">
            <v>合格</v>
          </cell>
          <cell r="M3405" t="str">
            <v>张慧</v>
          </cell>
          <cell r="N3405" t="str">
            <v>2019 03 01-2-E07</v>
          </cell>
          <cell r="O3405" t="str">
            <v>QSEP 100</v>
          </cell>
          <cell r="Q3405">
            <v>628</v>
          </cell>
          <cell r="R3405">
            <v>27.839700000000001</v>
          </cell>
        </row>
        <row r="3406">
          <cell r="E3406" t="str">
            <v>HFMET190301A0408-17-125</v>
          </cell>
          <cell r="F3406" t="str">
            <v>Meta 63，E12</v>
          </cell>
          <cell r="G3406">
            <v>18</v>
          </cell>
          <cell r="I3406">
            <v>567</v>
          </cell>
          <cell r="J3406">
            <v>29.8</v>
          </cell>
          <cell r="K3406">
            <v>70.84</v>
          </cell>
          <cell r="L3406" t="str">
            <v>合格</v>
          </cell>
          <cell r="M3406" t="str">
            <v>张慧</v>
          </cell>
          <cell r="N3406" t="str">
            <v>2019 03 01-2-E08</v>
          </cell>
          <cell r="O3406" t="str">
            <v>QSEP 100</v>
          </cell>
          <cell r="Q3406">
            <v>567</v>
          </cell>
          <cell r="R3406">
            <v>56.322000000000003</v>
          </cell>
        </row>
        <row r="3407">
          <cell r="E3407" t="str">
            <v>HFMET190301A0409-21-125</v>
          </cell>
          <cell r="F3407" t="str">
            <v>Meta 63，F01</v>
          </cell>
          <cell r="G3407">
            <v>18</v>
          </cell>
          <cell r="I3407">
            <v>569</v>
          </cell>
          <cell r="J3407">
            <v>27.02</v>
          </cell>
          <cell r="K3407">
            <v>64.47</v>
          </cell>
          <cell r="L3407" t="str">
            <v>合格</v>
          </cell>
          <cell r="M3407" t="str">
            <v>张慧</v>
          </cell>
          <cell r="N3407" t="str">
            <v>2019 03 01-2-E09</v>
          </cell>
          <cell r="O3407" t="str">
            <v>QSEP 100</v>
          </cell>
          <cell r="Q3407">
            <v>569</v>
          </cell>
          <cell r="R3407">
            <v>51.067799999999998</v>
          </cell>
        </row>
        <row r="3408">
          <cell r="E3408" t="str">
            <v>HFMET190301A0410-27-125</v>
          </cell>
          <cell r="F3408" t="str">
            <v>Meta 63，F02</v>
          </cell>
          <cell r="G3408">
            <v>18</v>
          </cell>
          <cell r="I3408">
            <v>629</v>
          </cell>
          <cell r="J3408">
            <v>15.86</v>
          </cell>
          <cell r="K3408">
            <v>35.61</v>
          </cell>
          <cell r="L3408" t="str">
            <v>合格</v>
          </cell>
          <cell r="M3408" t="str">
            <v>张慧</v>
          </cell>
          <cell r="N3408" t="str">
            <v>2019 03 01-2-E10</v>
          </cell>
          <cell r="O3408" t="str">
            <v>QSEP 100</v>
          </cell>
          <cell r="Q3408">
            <v>629</v>
          </cell>
          <cell r="R3408">
            <v>29.9754</v>
          </cell>
        </row>
        <row r="3409">
          <cell r="E3409" t="str">
            <v>HFMET190301A0411-84-125</v>
          </cell>
          <cell r="F3409" t="str">
            <v>Meta 63，F03</v>
          </cell>
          <cell r="G3409">
            <v>18</v>
          </cell>
          <cell r="I3409">
            <v>539</v>
          </cell>
          <cell r="J3409">
            <v>27.82</v>
          </cell>
          <cell r="K3409">
            <v>69.78</v>
          </cell>
          <cell r="L3409" t="str">
            <v>合格</v>
          </cell>
          <cell r="M3409" t="str">
            <v>张慧</v>
          </cell>
          <cell r="N3409" t="str">
            <v>2019 03 01-2-E11</v>
          </cell>
          <cell r="O3409" t="str">
            <v>QSEP 100</v>
          </cell>
          <cell r="Q3409">
            <v>539</v>
          </cell>
          <cell r="R3409">
            <v>52.579799999999999</v>
          </cell>
        </row>
        <row r="3410">
          <cell r="E3410" t="str">
            <v>HFMET190301A0412-85-125</v>
          </cell>
          <cell r="F3410" t="str">
            <v>Meta 63，F04</v>
          </cell>
          <cell r="G3410">
            <v>18</v>
          </cell>
          <cell r="I3410">
            <v>555</v>
          </cell>
          <cell r="J3410">
            <v>40.25</v>
          </cell>
          <cell r="K3410">
            <v>97.01</v>
          </cell>
          <cell r="L3410" t="str">
            <v>合格</v>
          </cell>
          <cell r="M3410" t="str">
            <v>张慧</v>
          </cell>
          <cell r="N3410" t="str">
            <v>2019 03 01-2-E12</v>
          </cell>
          <cell r="O3410" t="str">
            <v>QSEP 100</v>
          </cell>
          <cell r="Q3410">
            <v>555</v>
          </cell>
          <cell r="R3410">
            <v>76.072500000000005</v>
          </cell>
        </row>
        <row r="3411">
          <cell r="E3411" t="str">
            <v>HFMET190301A0413-86-125</v>
          </cell>
          <cell r="F3411" t="str">
            <v>Meta 63，F05</v>
          </cell>
          <cell r="G3411">
            <v>18</v>
          </cell>
          <cell r="I3411">
            <v>563</v>
          </cell>
          <cell r="J3411">
            <v>31.44</v>
          </cell>
          <cell r="K3411">
            <v>76.98</v>
          </cell>
          <cell r="L3411" t="str">
            <v>合格</v>
          </cell>
          <cell r="M3411" t="str">
            <v>张慧</v>
          </cell>
          <cell r="N3411" t="str">
            <v>2019 03 01-2-F01</v>
          </cell>
          <cell r="O3411" t="str">
            <v>QSEP 100</v>
          </cell>
          <cell r="Q3411">
            <v>563</v>
          </cell>
          <cell r="R3411">
            <v>59.421599999999998</v>
          </cell>
        </row>
        <row r="3412">
          <cell r="E3412" t="str">
            <v>HFMET190301A0414-1-126</v>
          </cell>
          <cell r="F3412" t="str">
            <v>Meta 63，F06</v>
          </cell>
          <cell r="G3412">
            <v>18</v>
          </cell>
          <cell r="I3412">
            <v>589</v>
          </cell>
          <cell r="J3412">
            <v>15.4</v>
          </cell>
          <cell r="K3412">
            <v>36.479999999999997</v>
          </cell>
          <cell r="L3412" t="str">
            <v>合格</v>
          </cell>
          <cell r="M3412" t="str">
            <v>张慧</v>
          </cell>
          <cell r="N3412" t="str">
            <v>2019 03 01-2-F02</v>
          </cell>
          <cell r="O3412" t="str">
            <v>QSEP 100</v>
          </cell>
          <cell r="Q3412">
            <v>589</v>
          </cell>
          <cell r="R3412">
            <v>29.106000000000002</v>
          </cell>
        </row>
        <row r="3413">
          <cell r="E3413" t="str">
            <v>HFMET190301A0415-16-126</v>
          </cell>
          <cell r="F3413" t="str">
            <v>Meta 63，F07</v>
          </cell>
          <cell r="G3413">
            <v>18</v>
          </cell>
          <cell r="I3413">
            <v>641</v>
          </cell>
          <cell r="J3413">
            <v>12.1</v>
          </cell>
          <cell r="K3413">
            <v>26.72</v>
          </cell>
          <cell r="L3413" t="str">
            <v>合格</v>
          </cell>
          <cell r="M3413" t="str">
            <v>张慧</v>
          </cell>
          <cell r="N3413" t="str">
            <v>2019 03 01-2-F03</v>
          </cell>
          <cell r="O3413" t="str">
            <v>QSEP 100</v>
          </cell>
          <cell r="Q3413">
            <v>641</v>
          </cell>
          <cell r="R3413">
            <v>22.869</v>
          </cell>
        </row>
        <row r="3414">
          <cell r="E3414" t="str">
            <v>HFMET190301A0416-17-126</v>
          </cell>
          <cell r="F3414" t="str">
            <v>Meta 63，F08</v>
          </cell>
          <cell r="G3414">
            <v>18</v>
          </cell>
          <cell r="I3414">
            <v>638</v>
          </cell>
          <cell r="J3414">
            <v>15.41</v>
          </cell>
          <cell r="K3414">
            <v>33.92</v>
          </cell>
          <cell r="L3414" t="str">
            <v>合格</v>
          </cell>
          <cell r="M3414" t="str">
            <v>张慧</v>
          </cell>
          <cell r="N3414" t="str">
            <v>2019 03 01-2-F04</v>
          </cell>
          <cell r="O3414" t="str">
            <v>QSEP 100</v>
          </cell>
          <cell r="Q3414">
            <v>638</v>
          </cell>
          <cell r="R3414">
            <v>29.1249</v>
          </cell>
        </row>
        <row r="3415">
          <cell r="E3415" t="str">
            <v>HFMET190301A0417-21-126</v>
          </cell>
          <cell r="F3415" t="str">
            <v>Meta 63，F09</v>
          </cell>
          <cell r="G3415">
            <v>18</v>
          </cell>
          <cell r="I3415">
            <v>626</v>
          </cell>
          <cell r="J3415">
            <v>21.73</v>
          </cell>
          <cell r="K3415">
            <v>48.21</v>
          </cell>
          <cell r="L3415" t="str">
            <v>合格</v>
          </cell>
          <cell r="M3415" t="str">
            <v>张慧</v>
          </cell>
          <cell r="N3415" t="str">
            <v>2019 03 01-2-F05</v>
          </cell>
          <cell r="O3415" t="str">
            <v>QSEP 100</v>
          </cell>
          <cell r="Q3415">
            <v>626</v>
          </cell>
          <cell r="R3415">
            <v>41.069699999999997</v>
          </cell>
        </row>
        <row r="3416">
          <cell r="E3416" t="str">
            <v>HFMET190301A0418-27-126</v>
          </cell>
          <cell r="F3416" t="str">
            <v>Meta 63，F10</v>
          </cell>
          <cell r="G3416">
            <v>18</v>
          </cell>
          <cell r="I3416">
            <v>606</v>
          </cell>
          <cell r="J3416">
            <v>20.92</v>
          </cell>
          <cell r="K3416">
            <v>47.8</v>
          </cell>
          <cell r="L3416" t="str">
            <v>合格</v>
          </cell>
          <cell r="M3416" t="str">
            <v>张慧</v>
          </cell>
          <cell r="N3416" t="str">
            <v>2019 03 01-2-F06</v>
          </cell>
          <cell r="O3416" t="str">
            <v>QSEP 100</v>
          </cell>
          <cell r="Q3416">
            <v>606</v>
          </cell>
          <cell r="R3416">
            <v>39.538800000000002</v>
          </cell>
        </row>
        <row r="3417">
          <cell r="E3417" t="str">
            <v>HFMET190301A0419-84-126</v>
          </cell>
          <cell r="F3417" t="str">
            <v>Meta 63，F11</v>
          </cell>
          <cell r="G3417">
            <v>18</v>
          </cell>
          <cell r="I3417">
            <v>623</v>
          </cell>
          <cell r="J3417">
            <v>19.36</v>
          </cell>
          <cell r="K3417">
            <v>43.35</v>
          </cell>
          <cell r="L3417" t="str">
            <v>合格</v>
          </cell>
          <cell r="M3417" t="str">
            <v>张慧</v>
          </cell>
          <cell r="N3417" t="str">
            <v>2019 03 01-2-F07</v>
          </cell>
          <cell r="O3417" t="str">
            <v>QSEP 100</v>
          </cell>
          <cell r="Q3417">
            <v>623</v>
          </cell>
          <cell r="R3417">
            <v>36.590400000000002</v>
          </cell>
        </row>
        <row r="3418">
          <cell r="E3418" t="str">
            <v>HFMET190301A0420-85-126</v>
          </cell>
          <cell r="F3418" t="str">
            <v>Meta 63，F12</v>
          </cell>
          <cell r="G3418">
            <v>18</v>
          </cell>
          <cell r="I3418">
            <v>529</v>
          </cell>
          <cell r="J3418">
            <v>51.86</v>
          </cell>
          <cell r="K3418">
            <v>130.13999999999999</v>
          </cell>
          <cell r="L3418" t="str">
            <v>合格</v>
          </cell>
          <cell r="M3418" t="str">
            <v>张慧</v>
          </cell>
          <cell r="N3418" t="str">
            <v>2019 03 01-2-F08</v>
          </cell>
          <cell r="O3418" t="str">
            <v>QSEP 100</v>
          </cell>
          <cell r="Q3418">
            <v>529</v>
          </cell>
          <cell r="R3418">
            <v>98.0154</v>
          </cell>
        </row>
        <row r="3419">
          <cell r="E3419" t="str">
            <v>HFMET190301A0421-86-126</v>
          </cell>
          <cell r="F3419" t="str">
            <v>Meta 63，G01</v>
          </cell>
          <cell r="G3419">
            <v>18</v>
          </cell>
          <cell r="I3419">
            <v>521</v>
          </cell>
          <cell r="J3419">
            <v>57.8</v>
          </cell>
          <cell r="K3419">
            <v>145.72</v>
          </cell>
          <cell r="L3419" t="str">
            <v>合格</v>
          </cell>
          <cell r="M3419" t="str">
            <v>张慧</v>
          </cell>
          <cell r="N3419" t="str">
            <v>2019 03 01-2-F09</v>
          </cell>
          <cell r="O3419" t="str">
            <v>QSEP 100</v>
          </cell>
          <cell r="Q3419">
            <v>521</v>
          </cell>
          <cell r="R3419">
            <v>109.242</v>
          </cell>
        </row>
        <row r="3420">
          <cell r="E3420" t="str">
            <v>HFMET190301A0422-87-119</v>
          </cell>
          <cell r="F3420" t="str">
            <v>Meta 63，G02</v>
          </cell>
          <cell r="G3420">
            <v>18</v>
          </cell>
          <cell r="I3420">
            <v>637</v>
          </cell>
          <cell r="J3420">
            <v>12.16</v>
          </cell>
          <cell r="K3420">
            <v>27.06</v>
          </cell>
          <cell r="L3420" t="str">
            <v>合格</v>
          </cell>
          <cell r="M3420" t="str">
            <v>张慧</v>
          </cell>
          <cell r="N3420" t="str">
            <v>2019 03 01-2-F10</v>
          </cell>
          <cell r="O3420" t="str">
            <v>QSEP 100</v>
          </cell>
          <cell r="Q3420">
            <v>637</v>
          </cell>
          <cell r="R3420">
            <v>22.982399999999998</v>
          </cell>
        </row>
        <row r="3421">
          <cell r="E3421" t="str">
            <v>HFMET190301A0423-88-119</v>
          </cell>
          <cell r="F3421" t="str">
            <v>Meta 63，G03</v>
          </cell>
          <cell r="G3421">
            <v>18</v>
          </cell>
          <cell r="I3421">
            <v>538</v>
          </cell>
          <cell r="J3421">
            <v>28.98</v>
          </cell>
          <cell r="K3421">
            <v>72.959999999999994</v>
          </cell>
          <cell r="L3421" t="str">
            <v>合格</v>
          </cell>
          <cell r="M3421" t="str">
            <v>张慧</v>
          </cell>
          <cell r="N3421" t="str">
            <v>2019 03 01-2-F11</v>
          </cell>
          <cell r="O3421" t="str">
            <v>QSEP 100</v>
          </cell>
          <cell r="Q3421">
            <v>538</v>
          </cell>
          <cell r="R3421">
            <v>54.772199999999998</v>
          </cell>
        </row>
        <row r="3422">
          <cell r="E3422" t="str">
            <v>HFMET190301A0424-89-119</v>
          </cell>
          <cell r="F3422" t="str">
            <v>Meta 63，G04</v>
          </cell>
          <cell r="G3422">
            <v>18</v>
          </cell>
          <cell r="I3422">
            <v>525</v>
          </cell>
          <cell r="J3422">
            <v>34.950000000000003</v>
          </cell>
          <cell r="K3422">
            <v>89.19</v>
          </cell>
          <cell r="L3422" t="str">
            <v>合格</v>
          </cell>
          <cell r="M3422" t="str">
            <v>张慧</v>
          </cell>
          <cell r="N3422" t="str">
            <v>2019 03 01-2-F12</v>
          </cell>
          <cell r="O3422" t="str">
            <v>QSEP 100</v>
          </cell>
          <cell r="Q3422">
            <v>525</v>
          </cell>
          <cell r="R3422">
            <v>66.055499999999995</v>
          </cell>
        </row>
        <row r="3423">
          <cell r="E3423" t="str">
            <v>HFMET190301A0425-90-119</v>
          </cell>
          <cell r="F3423" t="str">
            <v>Meta 63，G05</v>
          </cell>
          <cell r="G3423">
            <v>18</v>
          </cell>
          <cell r="I3423">
            <v>524</v>
          </cell>
          <cell r="J3423">
            <v>27.08</v>
          </cell>
          <cell r="K3423">
            <v>69.94</v>
          </cell>
          <cell r="L3423" t="str">
            <v>合格</v>
          </cell>
          <cell r="M3423" t="str">
            <v>张慧</v>
          </cell>
          <cell r="N3423" t="str">
            <v>2019 03 01-2-G01</v>
          </cell>
          <cell r="O3423" t="str">
            <v>QSEP 100</v>
          </cell>
          <cell r="Q3423">
            <v>524</v>
          </cell>
          <cell r="R3423">
            <v>51.181199999999997</v>
          </cell>
        </row>
        <row r="3424">
          <cell r="E3424" t="str">
            <v>HFMET190301A0426-91-119</v>
          </cell>
          <cell r="F3424" t="str">
            <v>Meta 63，G06</v>
          </cell>
          <cell r="G3424">
            <v>18</v>
          </cell>
          <cell r="I3424">
            <v>577</v>
          </cell>
          <cell r="J3424">
            <v>23.11</v>
          </cell>
          <cell r="K3424">
            <v>55.37</v>
          </cell>
          <cell r="L3424" t="str">
            <v>合格</v>
          </cell>
          <cell r="M3424" t="str">
            <v>张慧</v>
          </cell>
          <cell r="N3424" t="str">
            <v>2019 03 01-2-G02</v>
          </cell>
          <cell r="O3424" t="str">
            <v>QSEP 100</v>
          </cell>
          <cell r="Q3424">
            <v>577</v>
          </cell>
          <cell r="R3424">
            <v>43.677900000000001</v>
          </cell>
        </row>
        <row r="3425">
          <cell r="E3425" t="str">
            <v>HFMET190301A0427-92-119</v>
          </cell>
          <cell r="F3425" t="str">
            <v>Meta 63，G07</v>
          </cell>
          <cell r="G3425">
            <v>18</v>
          </cell>
          <cell r="I3425">
            <v>644</v>
          </cell>
          <cell r="J3425">
            <v>14.57</v>
          </cell>
          <cell r="K3425">
            <v>32.26</v>
          </cell>
          <cell r="L3425" t="str">
            <v>合格</v>
          </cell>
          <cell r="M3425" t="str">
            <v>张慧</v>
          </cell>
          <cell r="N3425" t="str">
            <v>2019 03 01-2-G03</v>
          </cell>
          <cell r="O3425" t="str">
            <v>QSEP 100</v>
          </cell>
          <cell r="Q3425">
            <v>644</v>
          </cell>
          <cell r="R3425">
            <v>27.537299999999998</v>
          </cell>
        </row>
        <row r="3426">
          <cell r="E3426" t="str">
            <v>HFMET190301A0428-93-119</v>
          </cell>
          <cell r="F3426" t="str">
            <v>Meta 63，G08</v>
          </cell>
          <cell r="G3426">
            <v>18</v>
          </cell>
          <cell r="I3426">
            <v>662</v>
          </cell>
          <cell r="J3426">
            <v>12.27</v>
          </cell>
          <cell r="K3426">
            <v>26.88</v>
          </cell>
          <cell r="L3426" t="str">
            <v>合格</v>
          </cell>
          <cell r="M3426" t="str">
            <v>张慧</v>
          </cell>
          <cell r="N3426" t="str">
            <v>2019 03 01-2-G04</v>
          </cell>
          <cell r="O3426" t="str">
            <v>QSEP 100</v>
          </cell>
          <cell r="Q3426">
            <v>662</v>
          </cell>
          <cell r="R3426">
            <v>23.190300000000001</v>
          </cell>
        </row>
        <row r="3427">
          <cell r="E3427" t="str">
            <v>HFMET190301A0429-94-119</v>
          </cell>
          <cell r="F3427" t="str">
            <v>Meta 63，G09</v>
          </cell>
          <cell r="G3427">
            <v>18</v>
          </cell>
          <cell r="I3427">
            <v>653</v>
          </cell>
          <cell r="J3427">
            <v>11.02</v>
          </cell>
          <cell r="K3427">
            <v>24.33</v>
          </cell>
          <cell r="L3427" t="str">
            <v>合格</v>
          </cell>
          <cell r="M3427" t="str">
            <v>张慧</v>
          </cell>
          <cell r="N3427" t="str">
            <v>2019 03 01-2-G05</v>
          </cell>
          <cell r="O3427" t="str">
            <v>QSEP 100</v>
          </cell>
          <cell r="Q3427">
            <v>653</v>
          </cell>
          <cell r="R3427">
            <v>20.8278</v>
          </cell>
        </row>
        <row r="3428">
          <cell r="E3428" t="str">
            <v>HFMET190301A0430-87-120</v>
          </cell>
          <cell r="F3428" t="str">
            <v>Meta 63，G10</v>
          </cell>
          <cell r="G3428">
            <v>18</v>
          </cell>
          <cell r="I3428">
            <v>635</v>
          </cell>
          <cell r="J3428">
            <v>16.79</v>
          </cell>
          <cell r="K3428">
            <v>38.18</v>
          </cell>
          <cell r="L3428" t="str">
            <v>合格</v>
          </cell>
          <cell r="M3428" t="str">
            <v>张慧</v>
          </cell>
          <cell r="N3428" t="str">
            <v>2019 03 01-2-G06</v>
          </cell>
          <cell r="O3428" t="str">
            <v>QSEP 100</v>
          </cell>
          <cell r="Q3428">
            <v>635</v>
          </cell>
          <cell r="R3428">
            <v>31.7331</v>
          </cell>
        </row>
        <row r="3429">
          <cell r="E3429" t="str">
            <v>HFMET190301A0431-88-120</v>
          </cell>
          <cell r="F3429" t="str">
            <v>Meta 63，G11</v>
          </cell>
          <cell r="G3429">
            <v>18</v>
          </cell>
          <cell r="I3429">
            <v>620</v>
          </cell>
          <cell r="J3429">
            <v>21.51</v>
          </cell>
          <cell r="K3429">
            <v>48.99</v>
          </cell>
          <cell r="L3429" t="str">
            <v>合格</v>
          </cell>
          <cell r="M3429" t="str">
            <v>张慧</v>
          </cell>
          <cell r="N3429" t="str">
            <v>2019 03 01-2-G07</v>
          </cell>
          <cell r="O3429" t="str">
            <v>QSEP 100</v>
          </cell>
          <cell r="Q3429">
            <v>620</v>
          </cell>
          <cell r="R3429">
            <v>40.6539</v>
          </cell>
        </row>
        <row r="3430">
          <cell r="E3430" t="str">
            <v>HFMET190301A0432-89-120</v>
          </cell>
          <cell r="F3430" t="str">
            <v>Meta 63，G12</v>
          </cell>
          <cell r="G3430">
            <v>18</v>
          </cell>
          <cell r="I3430">
            <v>674</v>
          </cell>
          <cell r="J3430">
            <v>10.31</v>
          </cell>
          <cell r="K3430">
            <v>22.7</v>
          </cell>
          <cell r="L3430" t="str">
            <v>合格</v>
          </cell>
          <cell r="M3430" t="str">
            <v>张慧</v>
          </cell>
          <cell r="N3430" t="str">
            <v>2019 03 01-2-G08</v>
          </cell>
          <cell r="O3430" t="str">
            <v>QSEP 100</v>
          </cell>
          <cell r="Q3430">
            <v>674</v>
          </cell>
          <cell r="R3430">
            <v>19.485900000000001</v>
          </cell>
        </row>
        <row r="3431">
          <cell r="E3431" t="str">
            <v>HFMET190301A0433-90-120</v>
          </cell>
          <cell r="F3431" t="str">
            <v>Meta 63，H01</v>
          </cell>
          <cell r="G3431">
            <v>18</v>
          </cell>
          <cell r="I3431">
            <v>674</v>
          </cell>
          <cell r="J3431">
            <v>7.42</v>
          </cell>
          <cell r="K3431">
            <v>16.600000000000001</v>
          </cell>
          <cell r="L3431" t="str">
            <v>合格</v>
          </cell>
          <cell r="M3431" t="str">
            <v>张慧</v>
          </cell>
          <cell r="N3431" t="str">
            <v>2019 03 01-2-G09</v>
          </cell>
          <cell r="O3431" t="str">
            <v>QSEP 100</v>
          </cell>
          <cell r="Q3431">
            <v>674</v>
          </cell>
          <cell r="R3431">
            <v>14.0238</v>
          </cell>
        </row>
        <row r="3432">
          <cell r="E3432" t="str">
            <v>HFMET190301A0434-91-120</v>
          </cell>
          <cell r="F3432" t="str">
            <v>Meta 63，H02</v>
          </cell>
          <cell r="G3432">
            <v>18</v>
          </cell>
          <cell r="I3432">
            <v>646</v>
          </cell>
          <cell r="J3432">
            <v>15.61</v>
          </cell>
          <cell r="K3432">
            <v>34.659999999999997</v>
          </cell>
          <cell r="L3432" t="str">
            <v>合格</v>
          </cell>
          <cell r="M3432" t="str">
            <v>张慧</v>
          </cell>
          <cell r="N3432" t="str">
            <v>2019 03 01-2-G10</v>
          </cell>
          <cell r="O3432" t="str">
            <v>QSEP 100</v>
          </cell>
          <cell r="Q3432">
            <v>646</v>
          </cell>
          <cell r="R3432">
            <v>29.5029</v>
          </cell>
        </row>
        <row r="3433">
          <cell r="E3433" t="str">
            <v>HFMET190301A0435-92-120</v>
          </cell>
          <cell r="F3433" t="str">
            <v>Meta 63，H03</v>
          </cell>
          <cell r="G3433">
            <v>18</v>
          </cell>
          <cell r="I3433">
            <v>658</v>
          </cell>
          <cell r="J3433">
            <v>13.19</v>
          </cell>
          <cell r="K3433">
            <v>28.91</v>
          </cell>
          <cell r="L3433" t="str">
            <v>合格</v>
          </cell>
          <cell r="M3433" t="str">
            <v>张慧</v>
          </cell>
          <cell r="N3433" t="str">
            <v>2019 03 01-2-G11</v>
          </cell>
          <cell r="O3433" t="str">
            <v>QSEP 100</v>
          </cell>
          <cell r="Q3433">
            <v>658</v>
          </cell>
          <cell r="R3433">
            <v>24.929099999999998</v>
          </cell>
        </row>
        <row r="3434">
          <cell r="E3434" t="str">
            <v>HFMET190301A0436-93-120</v>
          </cell>
          <cell r="F3434" t="str">
            <v>Meta 63，H04</v>
          </cell>
          <cell r="G3434">
            <v>18</v>
          </cell>
          <cell r="I3434">
            <v>652</v>
          </cell>
          <cell r="J3434">
            <v>16.63</v>
          </cell>
          <cell r="K3434">
            <v>36.69</v>
          </cell>
          <cell r="L3434" t="str">
            <v>合格</v>
          </cell>
          <cell r="M3434" t="str">
            <v>张慧</v>
          </cell>
          <cell r="N3434" t="str">
            <v>2019 03 01-2-G12</v>
          </cell>
          <cell r="O3434" t="str">
            <v>QSEP 100</v>
          </cell>
          <cell r="Q3434">
            <v>652</v>
          </cell>
          <cell r="R3434">
            <v>31.430700000000002</v>
          </cell>
        </row>
        <row r="3435">
          <cell r="E3435" t="str">
            <v>HFMET190301A0437-94-120</v>
          </cell>
          <cell r="F3435" t="str">
            <v>Meta 63，H05</v>
          </cell>
          <cell r="G3435">
            <v>18</v>
          </cell>
          <cell r="I3435">
            <v>605</v>
          </cell>
          <cell r="J3435">
            <v>12.093392</v>
          </cell>
          <cell r="K3435">
            <v>27.141480000000001</v>
          </cell>
          <cell r="L3435" t="str">
            <v>合格</v>
          </cell>
          <cell r="M3435" t="str">
            <v>张慧</v>
          </cell>
          <cell r="N3435" t="str">
            <v>2019 03 01-2-H01</v>
          </cell>
          <cell r="O3435" t="str">
            <v>QSEP 100</v>
          </cell>
          <cell r="Q3435">
            <v>605</v>
          </cell>
          <cell r="R3435">
            <v>12.093392</v>
          </cell>
        </row>
        <row r="3436">
          <cell r="E3436" t="str">
            <v>HFMET190301A0438-87-121</v>
          </cell>
          <cell r="F3436" t="str">
            <v>Meta 63，H06</v>
          </cell>
          <cell r="G3436">
            <v>18</v>
          </cell>
          <cell r="I3436">
            <v>644</v>
          </cell>
          <cell r="J3436">
            <v>11.738432</v>
          </cell>
          <cell r="K3436">
            <v>25.055820000000001</v>
          </cell>
          <cell r="L3436" t="str">
            <v>合格</v>
          </cell>
          <cell r="M3436" t="str">
            <v>张慧</v>
          </cell>
          <cell r="N3436" t="str">
            <v>2019 03 01-2-H02</v>
          </cell>
          <cell r="O3436" t="str">
            <v>QSEP 100</v>
          </cell>
          <cell r="Q3436">
            <v>644</v>
          </cell>
          <cell r="R3436">
            <v>11.738432</v>
          </cell>
        </row>
        <row r="3437">
          <cell r="E3437" t="str">
            <v>HFMET190301A0439-88-121</v>
          </cell>
          <cell r="F3437" t="str">
            <v>Meta 63，H07</v>
          </cell>
          <cell r="G3437">
            <v>18</v>
          </cell>
          <cell r="I3437">
            <v>684</v>
          </cell>
          <cell r="J3437">
            <v>8.6425280000000004</v>
          </cell>
          <cell r="K3437">
            <v>18.47232</v>
          </cell>
          <cell r="L3437" t="str">
            <v>合格</v>
          </cell>
          <cell r="M3437" t="str">
            <v>张慧</v>
          </cell>
          <cell r="N3437" t="str">
            <v>2019 03 01-2-H03</v>
          </cell>
          <cell r="O3437" t="str">
            <v>QSEP 100</v>
          </cell>
          <cell r="Q3437">
            <v>684</v>
          </cell>
          <cell r="R3437">
            <v>8.6425280000000004</v>
          </cell>
        </row>
        <row r="3438">
          <cell r="E3438" t="str">
            <v>HFMET190301A0440-89-121</v>
          </cell>
          <cell r="F3438" t="str">
            <v>Meta 63，H08</v>
          </cell>
          <cell r="G3438">
            <v>18</v>
          </cell>
          <cell r="I3438">
            <v>644</v>
          </cell>
          <cell r="J3438">
            <v>10.424944</v>
          </cell>
          <cell r="K3438">
            <v>22.509060000000002</v>
          </cell>
          <cell r="L3438" t="str">
            <v>合格</v>
          </cell>
          <cell r="M3438" t="str">
            <v>张慧</v>
          </cell>
          <cell r="N3438" t="str">
            <v>2019 03 01-2-H04</v>
          </cell>
          <cell r="O3438" t="str">
            <v>QSEP 100</v>
          </cell>
          <cell r="Q3438">
            <v>644</v>
          </cell>
          <cell r="R3438">
            <v>10.424944</v>
          </cell>
        </row>
        <row r="3439">
          <cell r="E3439" t="str">
            <v>HFMET190301A0441-90-121</v>
          </cell>
          <cell r="F3439" t="str">
            <v>Meta 63，H09</v>
          </cell>
          <cell r="G3439">
            <v>18</v>
          </cell>
          <cell r="I3439">
            <v>640</v>
          </cell>
          <cell r="J3439">
            <v>7.470548</v>
          </cell>
          <cell r="K3439">
            <v>16.153500000000001</v>
          </cell>
          <cell r="L3439" t="str">
            <v>合格</v>
          </cell>
          <cell r="M3439" t="str">
            <v>张慧</v>
          </cell>
          <cell r="N3439" t="str">
            <v>2019 03 01-2-H05</v>
          </cell>
          <cell r="O3439" t="str">
            <v>QSEP 100</v>
          </cell>
          <cell r="Q3439">
            <v>640</v>
          </cell>
          <cell r="R3439">
            <v>7.470548</v>
          </cell>
        </row>
        <row r="3440">
          <cell r="E3440" t="str">
            <v>HFMET190301A0442-91-121</v>
          </cell>
          <cell r="F3440" t="str">
            <v>Meta 63，H10</v>
          </cell>
          <cell r="G3440">
            <v>18</v>
          </cell>
          <cell r="I3440">
            <v>698</v>
          </cell>
          <cell r="J3440">
            <v>9.64</v>
          </cell>
          <cell r="K3440">
            <v>21</v>
          </cell>
          <cell r="L3440" t="str">
            <v>合格</v>
          </cell>
          <cell r="M3440" t="str">
            <v>张慧</v>
          </cell>
          <cell r="N3440" t="str">
            <v>2019 03 01-2-H06</v>
          </cell>
          <cell r="O3440" t="str">
            <v>QSEP 100</v>
          </cell>
          <cell r="Q3440">
            <v>698</v>
          </cell>
          <cell r="R3440">
            <v>18.2196</v>
          </cell>
        </row>
        <row r="3441">
          <cell r="E3441" t="str">
            <v>HFMET190301A0443-92-121</v>
          </cell>
          <cell r="F3441" t="str">
            <v>Meta 63，H11</v>
          </cell>
          <cell r="G3441">
            <v>18</v>
          </cell>
          <cell r="I3441">
            <v>649</v>
          </cell>
          <cell r="J3441">
            <v>11.0619</v>
          </cell>
          <cell r="K3441">
            <v>24.056699999999999</v>
          </cell>
          <cell r="L3441" t="str">
            <v>合格</v>
          </cell>
          <cell r="M3441" t="str">
            <v>张慧</v>
          </cell>
          <cell r="N3441" t="str">
            <v>2019 03 01-2-H07</v>
          </cell>
          <cell r="O3441" t="str">
            <v>QSEP 100</v>
          </cell>
          <cell r="Q3441">
            <v>649</v>
          </cell>
          <cell r="R3441">
            <v>11.0619</v>
          </cell>
        </row>
        <row r="3442">
          <cell r="E3442" t="str">
            <v>HFMET190301A0444-93-121</v>
          </cell>
          <cell r="F3442" t="str">
            <v>Meta 63，H12</v>
          </cell>
          <cell r="G3442">
            <v>18</v>
          </cell>
          <cell r="I3442">
            <v>649</v>
          </cell>
          <cell r="J3442">
            <v>14.858815999999999</v>
          </cell>
          <cell r="K3442">
            <v>32.291460000000001</v>
          </cell>
          <cell r="L3442" t="str">
            <v>合格</v>
          </cell>
          <cell r="M3442" t="str">
            <v>张慧</v>
          </cell>
          <cell r="N3442" t="str">
            <v>2019 03 01-2-H08</v>
          </cell>
          <cell r="O3442" t="str">
            <v>QSEP 100</v>
          </cell>
          <cell r="Q3442">
            <v>649</v>
          </cell>
          <cell r="R3442">
            <v>14.858815999999999</v>
          </cell>
        </row>
        <row r="3443">
          <cell r="E3443" t="str">
            <v>HFMET190301A0445-94-121</v>
          </cell>
          <cell r="F3443" t="str">
            <v>Meta 64，A01</v>
          </cell>
          <cell r="G3443">
            <v>18</v>
          </cell>
          <cell r="I3443">
            <v>719</v>
          </cell>
          <cell r="J3443">
            <v>9.39</v>
          </cell>
          <cell r="K3443">
            <v>20.010000000000002</v>
          </cell>
          <cell r="L3443" t="str">
            <v>合格</v>
          </cell>
          <cell r="M3443" t="str">
            <v>张慧</v>
          </cell>
          <cell r="N3443" t="str">
            <v>2019 03 01-2-H09</v>
          </cell>
          <cell r="O3443" t="str">
            <v>QSEP 100</v>
          </cell>
          <cell r="Q3443">
            <v>719</v>
          </cell>
          <cell r="R3443">
            <v>17.7471</v>
          </cell>
        </row>
        <row r="3444">
          <cell r="E3444" t="str">
            <v>HFMET190301A0446-87-122</v>
          </cell>
          <cell r="F3444" t="str">
            <v>Meta 64，A02</v>
          </cell>
          <cell r="G3444">
            <v>18</v>
          </cell>
          <cell r="I3444">
            <v>653</v>
          </cell>
          <cell r="J3444">
            <v>9.1373639999999998</v>
          </cell>
          <cell r="K3444">
            <v>19.59684</v>
          </cell>
          <cell r="L3444" t="str">
            <v>合格</v>
          </cell>
          <cell r="M3444" t="str">
            <v>张慧</v>
          </cell>
          <cell r="N3444" t="str">
            <v>2019 03 01-2-H10</v>
          </cell>
          <cell r="O3444" t="str">
            <v>QSEP 100</v>
          </cell>
          <cell r="Q3444">
            <v>653</v>
          </cell>
          <cell r="R3444">
            <v>9.1373639999999998</v>
          </cell>
        </row>
        <row r="3445">
          <cell r="E3445" t="str">
            <v>HFMET190301A0447-88-122</v>
          </cell>
          <cell r="F3445" t="str">
            <v>Meta 64，A03</v>
          </cell>
          <cell r="G3445">
            <v>18</v>
          </cell>
          <cell r="I3445">
            <v>646</v>
          </cell>
          <cell r="J3445">
            <v>11.641871999999999</v>
          </cell>
          <cell r="K3445">
            <v>25.072019999999998</v>
          </cell>
          <cell r="L3445" t="str">
            <v>合格</v>
          </cell>
          <cell r="M3445" t="str">
            <v>张慧</v>
          </cell>
          <cell r="N3445" t="str">
            <v>2019 03 01-2-H11</v>
          </cell>
          <cell r="O3445" t="str">
            <v>QSEP 100</v>
          </cell>
          <cell r="Q3445">
            <v>646</v>
          </cell>
          <cell r="R3445">
            <v>11.641871999999999</v>
          </cell>
        </row>
        <row r="3446">
          <cell r="E3446" t="str">
            <v>HFMET190301A0448-89-122</v>
          </cell>
          <cell r="F3446" t="str">
            <v>Meta 64，A04</v>
          </cell>
          <cell r="G3446">
            <v>18</v>
          </cell>
          <cell r="I3446">
            <v>697</v>
          </cell>
          <cell r="J3446">
            <v>7.95</v>
          </cell>
          <cell r="K3446">
            <v>17.760000000000002</v>
          </cell>
          <cell r="L3446" t="str">
            <v>合格</v>
          </cell>
          <cell r="M3446" t="str">
            <v>张慧</v>
          </cell>
          <cell r="N3446" t="str">
            <v>2019 03 01-2-H12</v>
          </cell>
          <cell r="O3446" t="str">
            <v>QSEP 100</v>
          </cell>
          <cell r="Q3446">
            <v>697</v>
          </cell>
          <cell r="R3446">
            <v>15.025499999999999</v>
          </cell>
        </row>
        <row r="3447">
          <cell r="E3447" t="str">
            <v>HFMET190301A0449-90-122</v>
          </cell>
          <cell r="F3447" t="str">
            <v>Meta 64，A05</v>
          </cell>
          <cell r="G3447">
            <v>18</v>
          </cell>
          <cell r="I3447">
            <v>628</v>
          </cell>
          <cell r="J3447">
            <v>8.58</v>
          </cell>
          <cell r="K3447">
            <v>19.27</v>
          </cell>
          <cell r="L3447" t="str">
            <v>合格</v>
          </cell>
          <cell r="M3447" t="str">
            <v>张慧</v>
          </cell>
          <cell r="N3447" t="str">
            <v>2019 03 01-1-A06</v>
          </cell>
          <cell r="O3447" t="str">
            <v>QSEP 100</v>
          </cell>
          <cell r="Q3447">
            <v>628</v>
          </cell>
          <cell r="R3447">
            <v>16.216200000000001</v>
          </cell>
        </row>
        <row r="3448">
          <cell r="E3448" t="str">
            <v>HFMET190301A0450-91-122</v>
          </cell>
          <cell r="F3448" t="str">
            <v>Meta 64，A06</v>
          </cell>
          <cell r="G3448">
            <v>18</v>
          </cell>
          <cell r="I3448">
            <v>631</v>
          </cell>
          <cell r="J3448">
            <v>11.08</v>
          </cell>
          <cell r="K3448">
            <v>24.44</v>
          </cell>
          <cell r="L3448" t="str">
            <v>合格</v>
          </cell>
          <cell r="M3448" t="str">
            <v>张慧</v>
          </cell>
          <cell r="N3448" t="str">
            <v>2019 03 01-1-A07</v>
          </cell>
          <cell r="O3448" t="str">
            <v>QSEP 100</v>
          </cell>
          <cell r="Q3448">
            <v>631</v>
          </cell>
          <cell r="R3448">
            <v>20.941199999999998</v>
          </cell>
        </row>
        <row r="3449">
          <cell r="E3449" t="str">
            <v>HFMET190301A0451-92-122</v>
          </cell>
          <cell r="F3449" t="str">
            <v>Meta 64，A07</v>
          </cell>
          <cell r="G3449">
            <v>18</v>
          </cell>
          <cell r="I3449">
            <v>630</v>
          </cell>
          <cell r="J3449">
            <v>9.7899999999999991</v>
          </cell>
          <cell r="K3449">
            <v>21.96</v>
          </cell>
          <cell r="L3449" t="str">
            <v>合格</v>
          </cell>
          <cell r="M3449" t="str">
            <v>张慧</v>
          </cell>
          <cell r="N3449" t="str">
            <v>2019 03 01-1-A08</v>
          </cell>
          <cell r="O3449" t="str">
            <v>QSEP 100</v>
          </cell>
          <cell r="Q3449">
            <v>630</v>
          </cell>
          <cell r="R3449">
            <v>18.5031</v>
          </cell>
        </row>
        <row r="3450">
          <cell r="E3450" t="str">
            <v>HFMET190301A0452-93-122</v>
          </cell>
          <cell r="F3450" t="str">
            <v>Meta 64，A08</v>
          </cell>
          <cell r="G3450">
            <v>18</v>
          </cell>
          <cell r="I3450">
            <v>638</v>
          </cell>
          <cell r="J3450">
            <v>10.58</v>
          </cell>
          <cell r="K3450">
            <v>23.28</v>
          </cell>
          <cell r="L3450" t="str">
            <v>合格</v>
          </cell>
          <cell r="M3450" t="str">
            <v>张慧</v>
          </cell>
          <cell r="N3450" t="str">
            <v>2019 03 01-1-A09</v>
          </cell>
          <cell r="O3450" t="str">
            <v>QSEP 100</v>
          </cell>
          <cell r="Q3450">
            <v>638</v>
          </cell>
          <cell r="R3450">
            <v>19.996200000000002</v>
          </cell>
        </row>
        <row r="3451">
          <cell r="E3451" t="str">
            <v>HFMET190301A0453-94-122</v>
          </cell>
          <cell r="F3451" t="str">
            <v>Meta 64，A09</v>
          </cell>
          <cell r="G3451">
            <v>18</v>
          </cell>
          <cell r="I3451">
            <v>615</v>
          </cell>
          <cell r="J3451">
            <v>13.8</v>
          </cell>
          <cell r="K3451">
            <v>31.22</v>
          </cell>
          <cell r="L3451" t="str">
            <v>合格</v>
          </cell>
          <cell r="M3451" t="str">
            <v>张慧</v>
          </cell>
          <cell r="N3451" t="str">
            <v>2019 03 01-1-A10</v>
          </cell>
          <cell r="O3451" t="str">
            <v>QSEP 100</v>
          </cell>
          <cell r="Q3451">
            <v>615</v>
          </cell>
          <cell r="R3451">
            <v>26.082000000000001</v>
          </cell>
        </row>
        <row r="3452">
          <cell r="E3452" t="str">
            <v>HFMET190301A0454-87-123</v>
          </cell>
          <cell r="F3452" t="str">
            <v>Meta 64，A10</v>
          </cell>
          <cell r="G3452">
            <v>18</v>
          </cell>
          <cell r="I3452">
            <v>630</v>
          </cell>
          <cell r="J3452">
            <v>9.75</v>
          </cell>
          <cell r="K3452">
            <v>21.92</v>
          </cell>
          <cell r="L3452" t="str">
            <v>合格</v>
          </cell>
          <cell r="M3452" t="str">
            <v>张慧</v>
          </cell>
          <cell r="N3452" t="str">
            <v>2019 03 04</v>
          </cell>
          <cell r="O3452" t="str">
            <v>QSEP 100</v>
          </cell>
          <cell r="Q3452">
            <v>630</v>
          </cell>
          <cell r="R3452">
            <v>18.427499999999998</v>
          </cell>
        </row>
        <row r="3453">
          <cell r="E3453" t="str">
            <v>HFMET190301A0455-88-123</v>
          </cell>
          <cell r="F3453" t="str">
            <v>Meta 64，A11</v>
          </cell>
          <cell r="G3453">
            <v>18</v>
          </cell>
          <cell r="I3453">
            <v>629</v>
          </cell>
          <cell r="J3453">
            <v>8.4</v>
          </cell>
          <cell r="K3453">
            <v>18.739999999999998</v>
          </cell>
          <cell r="L3453" t="str">
            <v>合格</v>
          </cell>
          <cell r="M3453" t="str">
            <v>张慧</v>
          </cell>
          <cell r="N3453" t="str">
            <v>2019 03 04</v>
          </cell>
          <cell r="O3453" t="str">
            <v>QSEP 100</v>
          </cell>
          <cell r="Q3453">
            <v>629</v>
          </cell>
          <cell r="R3453">
            <v>15.875999999999999</v>
          </cell>
        </row>
        <row r="3454">
          <cell r="E3454" t="str">
            <v>HFMET190301A0456-89-123</v>
          </cell>
          <cell r="F3454" t="str">
            <v>Meta 64，A12</v>
          </cell>
          <cell r="G3454">
            <v>18</v>
          </cell>
          <cell r="I3454">
            <v>633</v>
          </cell>
          <cell r="J3454">
            <v>6.47</v>
          </cell>
          <cell r="K3454">
            <v>14.62</v>
          </cell>
          <cell r="L3454" t="str">
            <v>合格</v>
          </cell>
          <cell r="M3454" t="str">
            <v>张慧</v>
          </cell>
          <cell r="N3454" t="str">
            <v>2019 03 04</v>
          </cell>
          <cell r="O3454" t="str">
            <v>QSEP 100</v>
          </cell>
          <cell r="Q3454">
            <v>633</v>
          </cell>
          <cell r="R3454">
            <v>12.228300000000001</v>
          </cell>
        </row>
        <row r="3455">
          <cell r="E3455" t="str">
            <v>HFMET190301A0457-90-123</v>
          </cell>
          <cell r="F3455" t="str">
            <v>Meta 64，B01</v>
          </cell>
          <cell r="G3455">
            <v>18</v>
          </cell>
          <cell r="H3455" t="str">
            <v>16sV3-V4</v>
          </cell>
          <cell r="I3455">
            <v>565</v>
          </cell>
          <cell r="J3455">
            <v>27.28</v>
          </cell>
          <cell r="K3455">
            <v>67.44</v>
          </cell>
          <cell r="L3455" t="str">
            <v>合格</v>
          </cell>
          <cell r="M3455" t="str">
            <v>张慧</v>
          </cell>
          <cell r="N3455" t="str">
            <v>2019 03 04</v>
          </cell>
          <cell r="O3455" t="str">
            <v>QSEP 100</v>
          </cell>
          <cell r="Q3455">
            <v>565</v>
          </cell>
          <cell r="R3455">
            <v>31.9176</v>
          </cell>
        </row>
        <row r="3456">
          <cell r="E3456" t="str">
            <v>HFMET190301A0458-91-123</v>
          </cell>
          <cell r="F3456" t="str">
            <v>Meta 64，B02</v>
          </cell>
          <cell r="G3456">
            <v>18</v>
          </cell>
          <cell r="H3456" t="str">
            <v>16sV3-V4</v>
          </cell>
          <cell r="I3456">
            <v>565</v>
          </cell>
          <cell r="J3456">
            <v>21.63</v>
          </cell>
          <cell r="K3456">
            <v>53.53</v>
          </cell>
          <cell r="L3456" t="str">
            <v>合格</v>
          </cell>
          <cell r="M3456" t="str">
            <v>张慧</v>
          </cell>
          <cell r="N3456" t="str">
            <v>2019 03 04</v>
          </cell>
          <cell r="O3456" t="str">
            <v>QSEP 100</v>
          </cell>
          <cell r="Q3456">
            <v>565</v>
          </cell>
          <cell r="R3456">
            <v>25.307099999999998</v>
          </cell>
        </row>
        <row r="3457">
          <cell r="E3457" t="str">
            <v>HFMET190301A0459-92-123</v>
          </cell>
          <cell r="F3457" t="str">
            <v>Meta 64，B03</v>
          </cell>
          <cell r="G3457">
            <v>18</v>
          </cell>
          <cell r="H3457" t="str">
            <v>16sV3-V4</v>
          </cell>
          <cell r="I3457">
            <v>564</v>
          </cell>
          <cell r="J3457">
            <v>17.45</v>
          </cell>
          <cell r="K3457">
            <v>43.56</v>
          </cell>
          <cell r="L3457" t="str">
            <v>合格</v>
          </cell>
          <cell r="M3457" t="str">
            <v>张慧</v>
          </cell>
          <cell r="N3457" t="str">
            <v>2019 03 04</v>
          </cell>
          <cell r="O3457" t="str">
            <v>QSEP 100</v>
          </cell>
          <cell r="Q3457">
            <v>564</v>
          </cell>
          <cell r="R3457">
            <v>20.416499999999999</v>
          </cell>
        </row>
        <row r="3458">
          <cell r="E3458" t="str">
            <v>HFMET190301A0460-110-121</v>
          </cell>
          <cell r="F3458" t="str">
            <v>Meta 64，B04</v>
          </cell>
          <cell r="G3458">
            <v>18</v>
          </cell>
          <cell r="I3458">
            <v>0</v>
          </cell>
          <cell r="J3458" t="str">
            <v>0.03</v>
          </cell>
          <cell r="K3458" t="str">
            <v>0.07</v>
          </cell>
          <cell r="L3458" t="str">
            <v>合格</v>
          </cell>
          <cell r="M3458" t="str">
            <v>张慧</v>
          </cell>
          <cell r="N3458" t="str">
            <v>2019 03 04</v>
          </cell>
          <cell r="O3458" t="str">
            <v>QSEP 100</v>
          </cell>
          <cell r="Q3458">
            <v>0</v>
          </cell>
          <cell r="R3458">
            <v>3.5099999999999999E-2</v>
          </cell>
        </row>
        <row r="3459">
          <cell r="E3459" t="str">
            <v>HFMET190301A0461-110-122</v>
          </cell>
          <cell r="F3459" t="str">
            <v>Meta 64，B05</v>
          </cell>
          <cell r="G3459">
            <v>18</v>
          </cell>
          <cell r="I3459">
            <v>0</v>
          </cell>
          <cell r="J3459" t="str">
            <v>0.02</v>
          </cell>
          <cell r="K3459" t="str">
            <v>0.04</v>
          </cell>
          <cell r="L3459" t="str">
            <v>合格</v>
          </cell>
          <cell r="M3459" t="str">
            <v>张慧</v>
          </cell>
          <cell r="N3459" t="str">
            <v>2019 03 04</v>
          </cell>
          <cell r="O3459" t="str">
            <v>QSEP 100</v>
          </cell>
          <cell r="Q3459">
            <v>0</v>
          </cell>
          <cell r="R3459">
            <v>2.3400000000000001E-2</v>
          </cell>
        </row>
        <row r="3460">
          <cell r="E3460" t="str">
            <v>HFMET190301A0462-110-123</v>
          </cell>
          <cell r="F3460" t="str">
            <v>Meta 64，B06</v>
          </cell>
          <cell r="G3460">
            <v>18</v>
          </cell>
          <cell r="I3460">
            <v>0</v>
          </cell>
          <cell r="J3460" t="str">
            <v>0.03</v>
          </cell>
          <cell r="K3460" t="str">
            <v>0.07</v>
          </cell>
          <cell r="L3460" t="str">
            <v>合格</v>
          </cell>
          <cell r="M3460" t="str">
            <v>张慧</v>
          </cell>
          <cell r="N3460" t="str">
            <v>2019 03 04</v>
          </cell>
          <cell r="O3460" t="str">
            <v>QSEP 100</v>
          </cell>
          <cell r="Q3460">
            <v>0</v>
          </cell>
          <cell r="R3460">
            <v>3.5099999999999999E-2</v>
          </cell>
        </row>
        <row r="3461">
          <cell r="E3461" t="str">
            <v>HFMET190301A0463-57-83</v>
          </cell>
          <cell r="F3461" t="str">
            <v>MetB 64，B07</v>
          </cell>
          <cell r="G3461">
            <v>18</v>
          </cell>
          <cell r="H3461" t="str">
            <v>ITS1</v>
          </cell>
          <cell r="I3461">
            <v>344</v>
          </cell>
          <cell r="J3461" t="str">
            <v>12.71</v>
          </cell>
          <cell r="K3461" t="str">
            <v>56.60</v>
          </cell>
          <cell r="L3461" t="str">
            <v>合格</v>
          </cell>
          <cell r="M3461" t="str">
            <v>张慧</v>
          </cell>
          <cell r="N3461" t="str">
            <v>2019 03 04</v>
          </cell>
          <cell r="O3461" t="str">
            <v>QSEP 100</v>
          </cell>
          <cell r="Q3461">
            <v>344</v>
          </cell>
          <cell r="R3461">
            <v>14.870699999999999</v>
          </cell>
        </row>
        <row r="3462">
          <cell r="E3462" t="str">
            <v>HFMET190301A0464-58-83</v>
          </cell>
          <cell r="F3462" t="str">
            <v>MetB 64，B08</v>
          </cell>
          <cell r="G3462">
            <v>18</v>
          </cell>
          <cell r="H3462" t="str">
            <v>ITS1</v>
          </cell>
          <cell r="I3462">
            <v>336</v>
          </cell>
          <cell r="J3462" t="str">
            <v>22.11</v>
          </cell>
          <cell r="K3462" t="str">
            <v>99.85</v>
          </cell>
          <cell r="L3462" t="str">
            <v>合格</v>
          </cell>
          <cell r="M3462" t="str">
            <v>张慧</v>
          </cell>
          <cell r="N3462" t="str">
            <v>2019 03 04</v>
          </cell>
          <cell r="O3462" t="str">
            <v>QSEP 100</v>
          </cell>
          <cell r="Q3462">
            <v>336</v>
          </cell>
          <cell r="R3462">
            <v>25.8687</v>
          </cell>
        </row>
        <row r="3463">
          <cell r="E3463" t="str">
            <v>HFMET190301A0465-59-68</v>
          </cell>
          <cell r="F3463" t="str">
            <v>MetB 64，B09</v>
          </cell>
          <cell r="G3463">
            <v>18</v>
          </cell>
          <cell r="H3463" t="str">
            <v>ITS1</v>
          </cell>
          <cell r="I3463">
            <v>338</v>
          </cell>
          <cell r="J3463" t="str">
            <v>21.18</v>
          </cell>
          <cell r="K3463" t="str">
            <v>95.49</v>
          </cell>
          <cell r="L3463" t="str">
            <v>合格</v>
          </cell>
          <cell r="M3463" t="str">
            <v>张慧</v>
          </cell>
          <cell r="N3463" t="str">
            <v>2019 03 04</v>
          </cell>
          <cell r="O3463" t="str">
            <v>QSEP 100</v>
          </cell>
          <cell r="Q3463">
            <v>338</v>
          </cell>
          <cell r="R3463">
            <v>24.7806</v>
          </cell>
        </row>
        <row r="3464">
          <cell r="E3464" t="str">
            <v>HFMET190301A0466-51-76</v>
          </cell>
          <cell r="F3464" t="str">
            <v>MetB 64，B10</v>
          </cell>
          <cell r="G3464">
            <v>18</v>
          </cell>
          <cell r="I3464">
            <v>378</v>
          </cell>
          <cell r="J3464" t="str">
            <v>5.40</v>
          </cell>
          <cell r="K3464" t="str">
            <v>21.97</v>
          </cell>
          <cell r="L3464" t="str">
            <v>不合格</v>
          </cell>
          <cell r="M3464" t="str">
            <v>张慧</v>
          </cell>
          <cell r="N3464" t="str">
            <v>2019 03 04</v>
          </cell>
          <cell r="O3464" t="str">
            <v>QSEP 100</v>
          </cell>
          <cell r="Q3464">
            <v>378</v>
          </cell>
          <cell r="R3464">
            <v>6.3179999999999996</v>
          </cell>
        </row>
        <row r="3465">
          <cell r="E3465" t="str">
            <v>HFMET190301A0467-52-76</v>
          </cell>
          <cell r="F3465" t="str">
            <v>MetB 64，B11</v>
          </cell>
          <cell r="G3465">
            <v>18</v>
          </cell>
          <cell r="I3465">
            <v>0</v>
          </cell>
          <cell r="J3465" t="str">
            <v>0.14</v>
          </cell>
          <cell r="K3465" t="str">
            <v>0.62</v>
          </cell>
          <cell r="L3465" t="str">
            <v>合格</v>
          </cell>
          <cell r="M3465" t="str">
            <v>张慧</v>
          </cell>
          <cell r="N3465" t="str">
            <v>2019 03 04</v>
          </cell>
          <cell r="O3465" t="str">
            <v>QSEP 100</v>
          </cell>
          <cell r="Q3465">
            <v>0</v>
          </cell>
          <cell r="R3465">
            <v>0.1638</v>
          </cell>
        </row>
        <row r="3466">
          <cell r="E3466" t="str">
            <v>HFMET190301A0468-53-76</v>
          </cell>
          <cell r="F3466" t="str">
            <v>MetB 64，B12</v>
          </cell>
          <cell r="G3466">
            <v>18</v>
          </cell>
          <cell r="I3466">
            <v>0</v>
          </cell>
          <cell r="J3466" t="str">
            <v>0.10</v>
          </cell>
          <cell r="K3466" t="str">
            <v>0.42</v>
          </cell>
          <cell r="L3466" t="str">
            <v>合格</v>
          </cell>
          <cell r="M3466" t="str">
            <v>张慧</v>
          </cell>
          <cell r="N3466" t="str">
            <v>2019 03 04</v>
          </cell>
          <cell r="O3466" t="str">
            <v>QSEP 100</v>
          </cell>
          <cell r="Q3466">
            <v>0</v>
          </cell>
          <cell r="R3466">
            <v>0.11700000000000001</v>
          </cell>
        </row>
        <row r="3467">
          <cell r="E3467" t="str">
            <v>HFMET190301A0469-60-68</v>
          </cell>
          <cell r="F3467" t="str">
            <v>Meta 64，C01</v>
          </cell>
          <cell r="G3467">
            <v>18</v>
          </cell>
          <cell r="I3467">
            <v>501</v>
          </cell>
          <cell r="J3467" t="str">
            <v>32.28</v>
          </cell>
          <cell r="K3467" t="str">
            <v>94.90</v>
          </cell>
          <cell r="L3467" t="str">
            <v>合格</v>
          </cell>
          <cell r="M3467" t="str">
            <v>张慧</v>
          </cell>
          <cell r="N3467" t="str">
            <v>2019 03 04</v>
          </cell>
          <cell r="O3467" t="str">
            <v>QSEP 100</v>
          </cell>
          <cell r="Q3467">
            <v>501</v>
          </cell>
          <cell r="R3467">
            <v>37.767600000000002</v>
          </cell>
        </row>
        <row r="3468">
          <cell r="E3468" t="str">
            <v>HFMET190301A0470-61-68</v>
          </cell>
          <cell r="F3468" t="str">
            <v>Meta 64，C02</v>
          </cell>
          <cell r="G3468">
            <v>18</v>
          </cell>
          <cell r="I3468">
            <v>500</v>
          </cell>
          <cell r="J3468" t="str">
            <v>25.39</v>
          </cell>
          <cell r="K3468" t="str">
            <v>74.95</v>
          </cell>
          <cell r="L3468" t="str">
            <v>合格</v>
          </cell>
          <cell r="M3468" t="str">
            <v>张慧</v>
          </cell>
          <cell r="N3468" t="str">
            <v>2019 03 04</v>
          </cell>
          <cell r="O3468" t="str">
            <v>QSEP 100</v>
          </cell>
          <cell r="Q3468">
            <v>500</v>
          </cell>
          <cell r="R3468">
            <v>29.706299999999999</v>
          </cell>
        </row>
        <row r="3469">
          <cell r="E3469" t="str">
            <v>HFMET190301A0471-62-68</v>
          </cell>
          <cell r="F3469" t="str">
            <v>Meta 64，C03</v>
          </cell>
          <cell r="G3469">
            <v>18</v>
          </cell>
          <cell r="I3469">
            <v>507</v>
          </cell>
          <cell r="J3469" t="str">
            <v>34.87</v>
          </cell>
          <cell r="K3469" t="str">
            <v>101.41</v>
          </cell>
          <cell r="L3469" t="str">
            <v>合格</v>
          </cell>
          <cell r="M3469" t="str">
            <v>张慧</v>
          </cell>
          <cell r="N3469" t="str">
            <v>2019 03 04</v>
          </cell>
          <cell r="O3469" t="str">
            <v>QSEP 100</v>
          </cell>
          <cell r="Q3469">
            <v>507</v>
          </cell>
          <cell r="R3469">
            <v>40.797899999999998</v>
          </cell>
        </row>
        <row r="3470">
          <cell r="E3470" t="str">
            <v>HFMET190301A0472-63-68</v>
          </cell>
          <cell r="F3470" t="str">
            <v>Meta 64，C04</v>
          </cell>
          <cell r="G3470">
            <v>18</v>
          </cell>
          <cell r="I3470">
            <v>513</v>
          </cell>
          <cell r="J3470" t="str">
            <v>43.83</v>
          </cell>
          <cell r="K3470" t="str">
            <v>126.08</v>
          </cell>
          <cell r="L3470" t="str">
            <v>合格</v>
          </cell>
          <cell r="M3470" t="str">
            <v>张慧</v>
          </cell>
          <cell r="N3470" t="str">
            <v>2019 03 04</v>
          </cell>
          <cell r="O3470" t="str">
            <v>QSEP 100</v>
          </cell>
          <cell r="Q3470">
            <v>513</v>
          </cell>
          <cell r="R3470">
            <v>51.281100000000002</v>
          </cell>
        </row>
        <row r="3471">
          <cell r="E3471" t="str">
            <v>HFMET190301A0473-54-76</v>
          </cell>
          <cell r="F3471" t="str">
            <v>Meta 64，C05</v>
          </cell>
          <cell r="G3471">
            <v>18</v>
          </cell>
          <cell r="I3471">
            <v>0</v>
          </cell>
          <cell r="J3471" t="str">
            <v>0.17</v>
          </cell>
          <cell r="K3471" t="str">
            <v>0.56</v>
          </cell>
          <cell r="L3471" t="str">
            <v>合格</v>
          </cell>
          <cell r="M3471" t="str">
            <v>张慧</v>
          </cell>
          <cell r="N3471" t="str">
            <v>2019 03 04</v>
          </cell>
          <cell r="O3471" t="str">
            <v>QSEP 100</v>
          </cell>
          <cell r="Q3471">
            <v>0</v>
          </cell>
          <cell r="R3471">
            <v>0.19889999999999999</v>
          </cell>
        </row>
        <row r="3472">
          <cell r="E3472" t="str">
            <v>HFMET190301A0474-55-76</v>
          </cell>
          <cell r="F3472" t="str">
            <v>Meta 64，C06</v>
          </cell>
          <cell r="G3472">
            <v>18</v>
          </cell>
          <cell r="I3472">
            <v>0</v>
          </cell>
          <cell r="J3472" t="str">
            <v>0.36</v>
          </cell>
          <cell r="K3472" t="str">
            <v>1.23</v>
          </cell>
          <cell r="L3472" t="str">
            <v>合格</v>
          </cell>
          <cell r="M3472" t="str">
            <v>张慧</v>
          </cell>
          <cell r="N3472" t="str">
            <v>2019 03 04</v>
          </cell>
          <cell r="O3472" t="str">
            <v>QSEP 100</v>
          </cell>
          <cell r="Q3472">
            <v>0</v>
          </cell>
          <cell r="R3472">
            <v>0.42120000000000002</v>
          </cell>
        </row>
        <row r="3473">
          <cell r="E3473" t="str">
            <v>HFMET190301A0475-56-76</v>
          </cell>
          <cell r="F3473" t="str">
            <v>Meta 64，C07</v>
          </cell>
          <cell r="G3473">
            <v>18</v>
          </cell>
          <cell r="I3473">
            <v>0</v>
          </cell>
          <cell r="J3473" t="str">
            <v>1.21</v>
          </cell>
          <cell r="K3473" t="str">
            <v>3.80</v>
          </cell>
          <cell r="L3473" t="str">
            <v>不合格</v>
          </cell>
          <cell r="M3473" t="str">
            <v>张慧</v>
          </cell>
          <cell r="N3473" t="str">
            <v>2019 03 04</v>
          </cell>
          <cell r="O3473" t="str">
            <v>QSEP 100</v>
          </cell>
          <cell r="Q3473">
            <v>0</v>
          </cell>
          <cell r="R3473">
            <v>1.4157</v>
          </cell>
        </row>
        <row r="3475">
          <cell r="E3475" t="str">
            <v>HFMET190305A0476-87-124</v>
          </cell>
          <cell r="F3475" t="str">
            <v>Meta 64，C08</v>
          </cell>
          <cell r="G3475">
            <v>18</v>
          </cell>
          <cell r="I3475">
            <v>614</v>
          </cell>
          <cell r="J3475" t="str">
            <v>11.32</v>
          </cell>
          <cell r="K3475" t="str">
            <v>26.38</v>
          </cell>
          <cell r="L3475" t="str">
            <v>合格</v>
          </cell>
          <cell r="M3475" t="str">
            <v>王旭之</v>
          </cell>
          <cell r="N3475" t="str">
            <v>2019 03 05-A06</v>
          </cell>
          <cell r="O3475" t="str">
            <v>QSEP 100</v>
          </cell>
          <cell r="Q3475">
            <v>614</v>
          </cell>
          <cell r="R3475">
            <v>14.036799999999999</v>
          </cell>
        </row>
        <row r="3476">
          <cell r="E3476" t="str">
            <v>HFMET190305A0477-88-124</v>
          </cell>
          <cell r="F3476" t="str">
            <v>Meta 64，C09</v>
          </cell>
          <cell r="G3476">
            <v>18</v>
          </cell>
          <cell r="I3476">
            <v>622</v>
          </cell>
          <cell r="J3476" t="str">
            <v>10.67</v>
          </cell>
          <cell r="K3476" t="str">
            <v>24.31</v>
          </cell>
          <cell r="L3476" t="str">
            <v>合格</v>
          </cell>
          <cell r="M3476" t="str">
            <v>王旭之</v>
          </cell>
          <cell r="N3476" t="str">
            <v>2019 03 05-A07</v>
          </cell>
          <cell r="O3476" t="str">
            <v>QSEP 100</v>
          </cell>
          <cell r="Q3476">
            <v>622</v>
          </cell>
          <cell r="R3476">
            <v>13.2308</v>
          </cell>
        </row>
        <row r="3477">
          <cell r="E3477" t="str">
            <v>HFMET190305A0478-89-124</v>
          </cell>
          <cell r="F3477" t="str">
            <v>Meta 64，C10</v>
          </cell>
          <cell r="G3477">
            <v>18</v>
          </cell>
          <cell r="I3477">
            <v>619</v>
          </cell>
          <cell r="J3477" t="str">
            <v>13.31</v>
          </cell>
          <cell r="K3477" t="str">
            <v>30.21</v>
          </cell>
          <cell r="L3477" t="str">
            <v>合格</v>
          </cell>
          <cell r="M3477" t="str">
            <v>王旭之</v>
          </cell>
          <cell r="N3477" t="str">
            <v>2019 03 05-A08</v>
          </cell>
          <cell r="O3477" t="str">
            <v>QSEP 100</v>
          </cell>
          <cell r="Q3477">
            <v>619</v>
          </cell>
          <cell r="R3477">
            <v>16.5044</v>
          </cell>
        </row>
        <row r="3478">
          <cell r="E3478" t="str">
            <v>HFMET190305A0479-90-124</v>
          </cell>
          <cell r="F3478" t="str">
            <v>Meta 64，C11</v>
          </cell>
          <cell r="G3478">
            <v>18</v>
          </cell>
          <cell r="I3478">
            <v>636</v>
          </cell>
          <cell r="J3478" t="str">
            <v>7.57</v>
          </cell>
          <cell r="K3478" t="str">
            <v>17.04</v>
          </cell>
          <cell r="L3478" t="str">
            <v>合格</v>
          </cell>
          <cell r="M3478" t="str">
            <v>王旭之</v>
          </cell>
          <cell r="N3478" t="str">
            <v>2019 03 05-A09</v>
          </cell>
          <cell r="O3478" t="str">
            <v>QSEP 100</v>
          </cell>
          <cell r="Q3478">
            <v>636</v>
          </cell>
          <cell r="R3478">
            <v>9.3868000000000009</v>
          </cell>
        </row>
        <row r="3479">
          <cell r="E3479" t="str">
            <v>HFMET190305A0480-91-124</v>
          </cell>
          <cell r="F3479" t="str">
            <v>Meta 64，C12</v>
          </cell>
          <cell r="G3479">
            <v>18</v>
          </cell>
          <cell r="I3479">
            <v>600</v>
          </cell>
          <cell r="J3479" t="str">
            <v>15.29</v>
          </cell>
          <cell r="K3479" t="str">
            <v>35.75</v>
          </cell>
          <cell r="L3479" t="str">
            <v>合格</v>
          </cell>
          <cell r="M3479" t="str">
            <v>王旭之</v>
          </cell>
          <cell r="N3479" t="str">
            <v>2019 03 05-A10</v>
          </cell>
          <cell r="O3479" t="str">
            <v>QSEP 100</v>
          </cell>
          <cell r="Q3479">
            <v>600</v>
          </cell>
          <cell r="R3479">
            <v>18.959599999999998</v>
          </cell>
        </row>
        <row r="3480">
          <cell r="E3480" t="str">
            <v>HFMET190305A0481-92-124</v>
          </cell>
          <cell r="F3480" t="str">
            <v>Meta 64，D01</v>
          </cell>
          <cell r="G3480">
            <v>18</v>
          </cell>
          <cell r="I3480">
            <v>611</v>
          </cell>
          <cell r="J3480" t="str">
            <v>14.60</v>
          </cell>
          <cell r="K3480" t="str">
            <v>33.51</v>
          </cell>
          <cell r="L3480" t="str">
            <v>合格</v>
          </cell>
          <cell r="M3480" t="str">
            <v>王旭之</v>
          </cell>
          <cell r="N3480" t="str">
            <v>2019 03 05-A11</v>
          </cell>
          <cell r="O3480" t="str">
            <v>QSEP 100</v>
          </cell>
          <cell r="Q3480">
            <v>611</v>
          </cell>
          <cell r="R3480">
            <v>18.103999999999999</v>
          </cell>
        </row>
        <row r="3481">
          <cell r="E3481" t="str">
            <v>HFMET190305A0482-93-124</v>
          </cell>
          <cell r="F3481" t="str">
            <v>Meta 64，D02</v>
          </cell>
          <cell r="G3481">
            <v>18</v>
          </cell>
          <cell r="I3481">
            <v>606</v>
          </cell>
          <cell r="J3481" t="str">
            <v>22.45</v>
          </cell>
          <cell r="K3481" t="str">
            <v>51.85</v>
          </cell>
          <cell r="L3481" t="str">
            <v>合格</v>
          </cell>
          <cell r="M3481" t="str">
            <v>王旭之</v>
          </cell>
          <cell r="N3481" t="str">
            <v>2019 03 05-A12</v>
          </cell>
          <cell r="O3481" t="str">
            <v>QSEP 100</v>
          </cell>
          <cell r="Q3481">
            <v>606</v>
          </cell>
          <cell r="R3481">
            <v>27.837999999999997</v>
          </cell>
        </row>
        <row r="3482">
          <cell r="E3482" t="str">
            <v>HFMET190305A0483-94-124</v>
          </cell>
          <cell r="F3482" t="str">
            <v>Meta 64，D03</v>
          </cell>
          <cell r="G3482">
            <v>18</v>
          </cell>
          <cell r="I3482">
            <v>629</v>
          </cell>
          <cell r="J3482" t="str">
            <v>18.95</v>
          </cell>
          <cell r="K3482" t="str">
            <v>41.78</v>
          </cell>
          <cell r="L3482" t="str">
            <v>合格</v>
          </cell>
          <cell r="M3482" t="str">
            <v>王旭之</v>
          </cell>
          <cell r="N3482" t="str">
            <v>2019 03 05-B01</v>
          </cell>
          <cell r="O3482" t="str">
            <v>QSEP 100</v>
          </cell>
          <cell r="Q3482">
            <v>629</v>
          </cell>
          <cell r="R3482">
            <v>23.497999999999998</v>
          </cell>
        </row>
        <row r="3483">
          <cell r="E3483" t="str">
            <v>HFMET190305A0484-87-125</v>
          </cell>
          <cell r="F3483" t="str">
            <v>Meta 64，D04</v>
          </cell>
          <cell r="G3483">
            <v>18</v>
          </cell>
          <cell r="I3483">
            <v>578</v>
          </cell>
          <cell r="J3483" t="str">
            <v>16.67</v>
          </cell>
          <cell r="K3483" t="str">
            <v>40.16</v>
          </cell>
          <cell r="L3483" t="str">
            <v>合格</v>
          </cell>
          <cell r="M3483" t="str">
            <v>王旭之</v>
          </cell>
          <cell r="N3483" t="str">
            <v>2019 03 05-B02</v>
          </cell>
          <cell r="O3483" t="str">
            <v>QSEP 100</v>
          </cell>
          <cell r="Q3483">
            <v>578</v>
          </cell>
          <cell r="R3483">
            <v>20.670800000000003</v>
          </cell>
        </row>
        <row r="3484">
          <cell r="E3484" t="str">
            <v>HFMET190305A0485-88-125</v>
          </cell>
          <cell r="F3484" t="str">
            <v>Meta 64，D05</v>
          </cell>
          <cell r="G3484">
            <v>18</v>
          </cell>
          <cell r="I3484">
            <v>616</v>
          </cell>
          <cell r="J3484" t="str">
            <v>13.82</v>
          </cell>
          <cell r="K3484" t="str">
            <v>31.46</v>
          </cell>
          <cell r="L3484" t="str">
            <v>合格</v>
          </cell>
          <cell r="M3484" t="str">
            <v>王旭之</v>
          </cell>
          <cell r="N3484" t="str">
            <v>2019 03 05-B03</v>
          </cell>
          <cell r="O3484" t="str">
            <v>QSEP 100</v>
          </cell>
          <cell r="Q3484">
            <v>616</v>
          </cell>
          <cell r="R3484">
            <v>17.136800000000001</v>
          </cell>
        </row>
        <row r="3485">
          <cell r="E3485" t="str">
            <v>HFMET190305A0486-89-125</v>
          </cell>
          <cell r="F3485" t="str">
            <v>Meta 64，D06</v>
          </cell>
          <cell r="G3485">
            <v>18</v>
          </cell>
          <cell r="I3485">
            <v>594</v>
          </cell>
          <cell r="J3485" t="str">
            <v>11.61</v>
          </cell>
          <cell r="K3485" t="str">
            <v>27.67</v>
          </cell>
          <cell r="L3485" t="str">
            <v>合格</v>
          </cell>
          <cell r="M3485" t="str">
            <v>王旭之</v>
          </cell>
          <cell r="N3485" t="str">
            <v>2019 03 05-B04</v>
          </cell>
          <cell r="O3485" t="str">
            <v>QSEP 100</v>
          </cell>
          <cell r="Q3485">
            <v>594</v>
          </cell>
          <cell r="R3485">
            <v>14.3964</v>
          </cell>
        </row>
        <row r="3486">
          <cell r="E3486" t="str">
            <v>HFMET190305A0487-90-125</v>
          </cell>
          <cell r="F3486" t="str">
            <v>Meta 64，D07</v>
          </cell>
          <cell r="G3486">
            <v>18</v>
          </cell>
          <cell r="I3486">
            <v>594</v>
          </cell>
          <cell r="J3486" t="str">
            <v>11.35</v>
          </cell>
          <cell r="K3486" t="str">
            <v>27.06</v>
          </cell>
          <cell r="L3486" t="str">
            <v>合格</v>
          </cell>
          <cell r="M3486" t="str">
            <v>王旭之</v>
          </cell>
          <cell r="N3486" t="str">
            <v>2019 03 05-B05</v>
          </cell>
          <cell r="O3486" t="str">
            <v>QSEP 100</v>
          </cell>
          <cell r="Q3486">
            <v>594</v>
          </cell>
          <cell r="R3486">
            <v>14.074</v>
          </cell>
        </row>
        <row r="3487">
          <cell r="E3487" t="str">
            <v>HFMET190305A0488-91-125</v>
          </cell>
          <cell r="F3487" t="str">
            <v>Meta 64，D08</v>
          </cell>
          <cell r="G3487">
            <v>18</v>
          </cell>
          <cell r="I3487">
            <v>583</v>
          </cell>
          <cell r="J3487" t="str">
            <v>14.60</v>
          </cell>
          <cell r="K3487" t="str">
            <v>35.23</v>
          </cell>
          <cell r="L3487" t="str">
            <v>合格</v>
          </cell>
          <cell r="M3487" t="str">
            <v>王旭之</v>
          </cell>
          <cell r="N3487" t="str">
            <v>2019 03 05-B06</v>
          </cell>
          <cell r="O3487" t="str">
            <v>QSEP 100</v>
          </cell>
          <cell r="Q3487">
            <v>583</v>
          </cell>
          <cell r="R3487">
            <v>18.103999999999999</v>
          </cell>
        </row>
        <row r="3488">
          <cell r="E3488" t="str">
            <v>HFMET190305A0489-92-125</v>
          </cell>
          <cell r="F3488" t="str">
            <v>Meta 64，D09</v>
          </cell>
          <cell r="G3488">
            <v>18</v>
          </cell>
          <cell r="I3488">
            <v>586</v>
          </cell>
          <cell r="J3488" t="str">
            <v>17.50</v>
          </cell>
          <cell r="K3488" t="str">
            <v>41.73</v>
          </cell>
          <cell r="L3488" t="str">
            <v>合格</v>
          </cell>
          <cell r="M3488" t="str">
            <v>王旭之</v>
          </cell>
          <cell r="N3488" t="str">
            <v>2019 03 05-B07</v>
          </cell>
          <cell r="O3488" t="str">
            <v>QSEP 100</v>
          </cell>
          <cell r="Q3488">
            <v>586</v>
          </cell>
          <cell r="R3488">
            <v>21.7</v>
          </cell>
        </row>
        <row r="3489">
          <cell r="E3489" t="str">
            <v>HFMET190305A0490-93-125</v>
          </cell>
          <cell r="F3489" t="str">
            <v>Meta 64，D10</v>
          </cell>
          <cell r="G3489">
            <v>18</v>
          </cell>
          <cell r="I3489">
            <v>615</v>
          </cell>
          <cell r="J3489" t="str">
            <v>16.92</v>
          </cell>
          <cell r="K3489" t="str">
            <v>38.56</v>
          </cell>
          <cell r="L3489" t="str">
            <v>合格</v>
          </cell>
          <cell r="M3489" t="str">
            <v>王旭之</v>
          </cell>
          <cell r="N3489" t="str">
            <v>2019 03 05-B08</v>
          </cell>
          <cell r="O3489" t="str">
            <v>QSEP 100</v>
          </cell>
          <cell r="Q3489">
            <v>615</v>
          </cell>
          <cell r="R3489">
            <v>20.980800000000002</v>
          </cell>
        </row>
        <row r="3490">
          <cell r="E3490" t="str">
            <v>HFMET190305A0491-94-125</v>
          </cell>
          <cell r="F3490" t="str">
            <v>Meta 64，D11</v>
          </cell>
          <cell r="G3490">
            <v>18</v>
          </cell>
          <cell r="I3490">
            <v>617</v>
          </cell>
          <cell r="J3490" t="str">
            <v>16.02</v>
          </cell>
          <cell r="K3490" t="str">
            <v>36.57</v>
          </cell>
          <cell r="L3490" t="str">
            <v>合格</v>
          </cell>
          <cell r="M3490" t="str">
            <v>王旭之</v>
          </cell>
          <cell r="N3490" t="str">
            <v>2019 03 05-B09</v>
          </cell>
          <cell r="O3490" t="str">
            <v>QSEP 100</v>
          </cell>
          <cell r="Q3490">
            <v>617</v>
          </cell>
          <cell r="R3490">
            <v>19.864799999999999</v>
          </cell>
        </row>
        <row r="3491">
          <cell r="E3491" t="str">
            <v>HFMET190305A0492-87-126</v>
          </cell>
          <cell r="F3491" t="str">
            <v>Meta 64，D12</v>
          </cell>
          <cell r="G3491">
            <v>18</v>
          </cell>
          <cell r="I3491">
            <v>632</v>
          </cell>
          <cell r="J3491" t="str">
            <v>14.58</v>
          </cell>
          <cell r="K3491" t="str">
            <v>32.65</v>
          </cell>
          <cell r="L3491" t="str">
            <v>合格</v>
          </cell>
          <cell r="M3491" t="str">
            <v>王旭之</v>
          </cell>
          <cell r="N3491" t="str">
            <v>2019 03 05-B10</v>
          </cell>
          <cell r="O3491" t="str">
            <v>QSEP 100</v>
          </cell>
          <cell r="Q3491">
            <v>632</v>
          </cell>
          <cell r="R3491">
            <v>18.0792</v>
          </cell>
        </row>
        <row r="3492">
          <cell r="E3492" t="str">
            <v>HFMET190305A0493-88-126</v>
          </cell>
          <cell r="F3492" t="str">
            <v>Meta 64，E01</v>
          </cell>
          <cell r="G3492">
            <v>18</v>
          </cell>
          <cell r="I3492">
            <v>622</v>
          </cell>
          <cell r="J3492" t="str">
            <v>16.19</v>
          </cell>
          <cell r="K3492" t="str">
            <v>36.51</v>
          </cell>
          <cell r="L3492" t="str">
            <v>合格</v>
          </cell>
          <cell r="M3492" t="str">
            <v>王旭之</v>
          </cell>
          <cell r="N3492" t="str">
            <v>2019 03 05-B11</v>
          </cell>
          <cell r="O3492" t="str">
            <v>QSEP 100</v>
          </cell>
          <cell r="Q3492">
            <v>622</v>
          </cell>
          <cell r="R3492">
            <v>20.075600000000001</v>
          </cell>
        </row>
        <row r="3493">
          <cell r="E3493" t="str">
            <v>HFMET190305A0494-89-126</v>
          </cell>
          <cell r="F3493" t="str">
            <v>Meta 64，E02</v>
          </cell>
          <cell r="G3493">
            <v>18</v>
          </cell>
          <cell r="I3493">
            <v>605</v>
          </cell>
          <cell r="J3493" t="str">
            <v>17.41</v>
          </cell>
          <cell r="K3493" t="str">
            <v>40.34</v>
          </cell>
          <cell r="L3493" t="str">
            <v>合格</v>
          </cell>
          <cell r="M3493" t="str">
            <v>王旭之</v>
          </cell>
          <cell r="N3493" t="str">
            <v>2019 03 05-B12</v>
          </cell>
          <cell r="O3493" t="str">
            <v>QSEP 100</v>
          </cell>
          <cell r="Q3493">
            <v>605</v>
          </cell>
          <cell r="R3493">
            <v>21.5884</v>
          </cell>
        </row>
        <row r="3494">
          <cell r="E3494" t="str">
            <v>HFMET190305A0495-90-126</v>
          </cell>
          <cell r="F3494" t="str">
            <v>Meta 64，E03</v>
          </cell>
          <cell r="G3494">
            <v>18</v>
          </cell>
          <cell r="I3494">
            <v>619</v>
          </cell>
          <cell r="J3494" t="str">
            <v>12.13</v>
          </cell>
          <cell r="K3494" t="str">
            <v>27.80</v>
          </cell>
          <cell r="L3494" t="str">
            <v>合格</v>
          </cell>
          <cell r="M3494" t="str">
            <v>王旭之</v>
          </cell>
          <cell r="N3494" t="str">
            <v>2019 03 05-C01</v>
          </cell>
          <cell r="O3494" t="str">
            <v>QSEP 100</v>
          </cell>
          <cell r="Q3494">
            <v>619</v>
          </cell>
          <cell r="R3494">
            <v>15.041200000000002</v>
          </cell>
        </row>
        <row r="3495">
          <cell r="E3495" t="str">
            <v>HFMET190305A0496-91-126</v>
          </cell>
          <cell r="F3495" t="str">
            <v>Meta 64，E04</v>
          </cell>
          <cell r="G3495">
            <v>18</v>
          </cell>
          <cell r="I3495">
            <v>609</v>
          </cell>
          <cell r="J3495" t="str">
            <v>16.78</v>
          </cell>
          <cell r="K3495" t="str">
            <v>38.51</v>
          </cell>
          <cell r="L3495" t="str">
            <v>合格</v>
          </cell>
          <cell r="M3495" t="str">
            <v>王旭之</v>
          </cell>
          <cell r="N3495" t="str">
            <v>2019 03 05-C02</v>
          </cell>
          <cell r="O3495" t="str">
            <v>QSEP 100</v>
          </cell>
          <cell r="Q3495">
            <v>609</v>
          </cell>
          <cell r="R3495">
            <v>20.807200000000002</v>
          </cell>
        </row>
        <row r="3496">
          <cell r="E3496" t="str">
            <v>HFMET190305A0497-92-126</v>
          </cell>
          <cell r="F3496" t="str">
            <v>Meta 64，E05</v>
          </cell>
          <cell r="G3496">
            <v>18</v>
          </cell>
          <cell r="I3496">
            <v>613</v>
          </cell>
          <cell r="J3496" t="str">
            <v>20.11</v>
          </cell>
          <cell r="K3496" t="str">
            <v>45.93</v>
          </cell>
          <cell r="L3496" t="str">
            <v>合格</v>
          </cell>
          <cell r="M3496" t="str">
            <v>王旭之</v>
          </cell>
          <cell r="N3496" t="str">
            <v>2019 03 05-C03</v>
          </cell>
          <cell r="O3496" t="str">
            <v>QSEP 100</v>
          </cell>
          <cell r="Q3496">
            <v>613</v>
          </cell>
          <cell r="R3496">
            <v>24.936399999999999</v>
          </cell>
        </row>
        <row r="3497">
          <cell r="E3497" t="str">
            <v>HFMET190305A0498-93-126</v>
          </cell>
          <cell r="F3497" t="str">
            <v>Meta 64，E06</v>
          </cell>
          <cell r="G3497">
            <v>18</v>
          </cell>
          <cell r="I3497">
            <v>605</v>
          </cell>
          <cell r="J3497" t="str">
            <v>22.96</v>
          </cell>
          <cell r="K3497" t="str">
            <v>52.73</v>
          </cell>
          <cell r="L3497" t="str">
            <v>合格</v>
          </cell>
          <cell r="M3497" t="str">
            <v>王旭之</v>
          </cell>
          <cell r="N3497" t="str">
            <v>2019 03 05-C04</v>
          </cell>
          <cell r="O3497" t="str">
            <v>QSEP 100</v>
          </cell>
          <cell r="Q3497">
            <v>605</v>
          </cell>
          <cell r="R3497">
            <v>28.470400000000001</v>
          </cell>
        </row>
        <row r="3498">
          <cell r="E3498" t="str">
            <v>HFMET190305A0499-94-126</v>
          </cell>
          <cell r="F3498" t="str">
            <v>Meta 64，E07</v>
          </cell>
          <cell r="G3498">
            <v>18</v>
          </cell>
          <cell r="I3498">
            <v>617</v>
          </cell>
          <cell r="J3498" t="str">
            <v>17.99</v>
          </cell>
          <cell r="K3498" t="str">
            <v>40.96</v>
          </cell>
          <cell r="L3498" t="str">
            <v>合格</v>
          </cell>
          <cell r="M3498" t="str">
            <v>王旭之</v>
          </cell>
          <cell r="N3498" t="str">
            <v>2019 03 05-C05</v>
          </cell>
          <cell r="O3498" t="str">
            <v>QSEP 100</v>
          </cell>
          <cell r="Q3498">
            <v>617</v>
          </cell>
          <cell r="R3498">
            <v>22.307599999999997</v>
          </cell>
        </row>
        <row r="3499">
          <cell r="E3499" t="str">
            <v>HFMET190305A0500-1-127</v>
          </cell>
          <cell r="F3499" t="str">
            <v>Meta 64，E08</v>
          </cell>
          <cell r="G3499">
            <v>18</v>
          </cell>
          <cell r="I3499">
            <v>638</v>
          </cell>
          <cell r="J3499" t="str">
            <v>9.49</v>
          </cell>
          <cell r="K3499" t="str">
            <v>21.21</v>
          </cell>
          <cell r="L3499" t="str">
            <v>合格</v>
          </cell>
          <cell r="M3499" t="str">
            <v>王旭之</v>
          </cell>
          <cell r="N3499" t="str">
            <v>2019 03 05-C06</v>
          </cell>
          <cell r="O3499" t="str">
            <v>QSEP 100</v>
          </cell>
          <cell r="Q3499">
            <v>638</v>
          </cell>
          <cell r="R3499">
            <v>11.7676</v>
          </cell>
        </row>
        <row r="3500">
          <cell r="E3500" t="str">
            <v>HFMET190305A0501-1-128</v>
          </cell>
          <cell r="F3500" t="str">
            <v>Meta 64，E09</v>
          </cell>
          <cell r="G3500">
            <v>18</v>
          </cell>
          <cell r="I3500">
            <v>635</v>
          </cell>
          <cell r="J3500" t="str">
            <v>9.32</v>
          </cell>
          <cell r="K3500" t="str">
            <v>20.97</v>
          </cell>
          <cell r="L3500" t="str">
            <v>合格</v>
          </cell>
          <cell r="M3500" t="str">
            <v>王旭之</v>
          </cell>
          <cell r="N3500" t="str">
            <v>2019 03 05-C07</v>
          </cell>
          <cell r="O3500" t="str">
            <v>QSEP 100</v>
          </cell>
          <cell r="Q3500">
            <v>635</v>
          </cell>
          <cell r="R3500">
            <v>11.556800000000001</v>
          </cell>
        </row>
        <row r="3501">
          <cell r="E3501" t="str">
            <v>HFMET190305A0502-1-129</v>
          </cell>
          <cell r="F3501" t="str">
            <v>Meta 64，E10</v>
          </cell>
          <cell r="G3501">
            <v>18</v>
          </cell>
          <cell r="I3501">
            <v>0</v>
          </cell>
          <cell r="J3501" t="str">
            <v>0.01</v>
          </cell>
          <cell r="K3501" t="str">
            <v>0.02</v>
          </cell>
          <cell r="L3501" t="str">
            <v>不合格</v>
          </cell>
          <cell r="M3501" t="str">
            <v>王旭之</v>
          </cell>
          <cell r="N3501" t="str">
            <v>2019 03 05-C08</v>
          </cell>
          <cell r="O3501" t="str">
            <v>QSEP 100</v>
          </cell>
          <cell r="Q3501">
            <v>0</v>
          </cell>
          <cell r="R3501">
            <v>1.24E-2</v>
          </cell>
        </row>
        <row r="3502">
          <cell r="E3502" t="str">
            <v>HFMET190305A0503-1-130</v>
          </cell>
          <cell r="F3502" t="str">
            <v>Meta 64，E11</v>
          </cell>
          <cell r="G3502">
            <v>18</v>
          </cell>
          <cell r="I3502">
            <v>631</v>
          </cell>
          <cell r="J3502" t="str">
            <v>8.91</v>
          </cell>
          <cell r="K3502" t="str">
            <v>20.21</v>
          </cell>
          <cell r="L3502" t="str">
            <v>合格</v>
          </cell>
          <cell r="M3502" t="str">
            <v>王旭之</v>
          </cell>
          <cell r="N3502" t="str">
            <v>2019 03 05-C09</v>
          </cell>
          <cell r="O3502" t="str">
            <v>QSEP 100</v>
          </cell>
          <cell r="Q3502">
            <v>631</v>
          </cell>
          <cell r="R3502">
            <v>11.048400000000001</v>
          </cell>
        </row>
        <row r="3503">
          <cell r="E3503" t="str">
            <v>HFMET190305A0504-1-131</v>
          </cell>
          <cell r="F3503" t="str">
            <v>Meta 64，E12</v>
          </cell>
          <cell r="G3503">
            <v>18</v>
          </cell>
          <cell r="I3503">
            <v>615</v>
          </cell>
          <cell r="J3503" t="str">
            <v>10.95</v>
          </cell>
          <cell r="K3503" t="str">
            <v>25.39</v>
          </cell>
          <cell r="L3503" t="str">
            <v>合格</v>
          </cell>
          <cell r="M3503" t="str">
            <v>王旭之</v>
          </cell>
          <cell r="N3503" t="str">
            <v>2019 03 05-C10</v>
          </cell>
          <cell r="O3503" t="str">
            <v>QSEP 100</v>
          </cell>
          <cell r="Q3503">
            <v>615</v>
          </cell>
          <cell r="R3503">
            <v>13.577999999999999</v>
          </cell>
        </row>
        <row r="3504">
          <cell r="E3504" t="str">
            <v>HFMET190305A0505-1-132</v>
          </cell>
          <cell r="F3504" t="str">
            <v>Meta 64，F01</v>
          </cell>
          <cell r="G3504">
            <v>18</v>
          </cell>
          <cell r="I3504">
            <v>640</v>
          </cell>
          <cell r="J3504" t="str">
            <v>8.19</v>
          </cell>
          <cell r="K3504" t="str">
            <v>18.39</v>
          </cell>
          <cell r="L3504" t="str">
            <v>合格</v>
          </cell>
          <cell r="M3504" t="str">
            <v>王旭之</v>
          </cell>
          <cell r="N3504" t="str">
            <v>2019 03 05-C11</v>
          </cell>
          <cell r="O3504" t="str">
            <v>QSEP 100</v>
          </cell>
          <cell r="Q3504">
            <v>640</v>
          </cell>
          <cell r="R3504">
            <v>10.1556</v>
          </cell>
        </row>
        <row r="3505">
          <cell r="E3505" t="str">
            <v>HFMET190305A0506-1-133</v>
          </cell>
          <cell r="F3505" t="str">
            <v>Meta 64，F02</v>
          </cell>
          <cell r="G3505">
            <v>18</v>
          </cell>
          <cell r="I3505">
            <v>603</v>
          </cell>
          <cell r="J3505" t="str">
            <v>12.39</v>
          </cell>
          <cell r="K3505" t="str">
            <v>29.22</v>
          </cell>
          <cell r="L3505" t="str">
            <v>合格</v>
          </cell>
          <cell r="M3505" t="str">
            <v>王旭之</v>
          </cell>
          <cell r="N3505" t="str">
            <v>2019 03 05-C12</v>
          </cell>
          <cell r="O3505" t="str">
            <v>QSEP 100</v>
          </cell>
          <cell r="Q3505">
            <v>603</v>
          </cell>
          <cell r="R3505">
            <v>15.3636</v>
          </cell>
        </row>
        <row r="3506">
          <cell r="E3506" t="str">
            <v>HFMET190305A0507-1-134</v>
          </cell>
          <cell r="F3506" t="str">
            <v>Meta 64，F03</v>
          </cell>
          <cell r="G3506">
            <v>18</v>
          </cell>
          <cell r="I3506">
            <v>623</v>
          </cell>
          <cell r="J3506" t="str">
            <v>10.73</v>
          </cell>
          <cell r="K3506" t="str">
            <v>24.60</v>
          </cell>
          <cell r="L3506" t="str">
            <v>合格</v>
          </cell>
          <cell r="M3506" t="str">
            <v>王旭之</v>
          </cell>
          <cell r="N3506" t="str">
            <v>2019 03 05-D01</v>
          </cell>
          <cell r="O3506" t="str">
            <v>QSEP 100</v>
          </cell>
          <cell r="Q3506">
            <v>623</v>
          </cell>
          <cell r="R3506">
            <v>13.305200000000001</v>
          </cell>
        </row>
        <row r="3507">
          <cell r="E3507" t="str">
            <v>HFMET190305A0508-16-127</v>
          </cell>
          <cell r="F3507" t="str">
            <v>Meta 64，F04</v>
          </cell>
          <cell r="G3507">
            <v>18</v>
          </cell>
          <cell r="I3507">
            <v>611</v>
          </cell>
          <cell r="J3507" t="str">
            <v>13.46</v>
          </cell>
          <cell r="K3507" t="str">
            <v>31.15</v>
          </cell>
          <cell r="L3507" t="str">
            <v>合格</v>
          </cell>
          <cell r="M3507" t="str">
            <v>王旭之</v>
          </cell>
          <cell r="N3507" t="str">
            <v>2019 03 05-D02</v>
          </cell>
          <cell r="O3507" t="str">
            <v>QSEP 100</v>
          </cell>
          <cell r="Q3507">
            <v>611</v>
          </cell>
          <cell r="R3507">
            <v>16.6904</v>
          </cell>
        </row>
        <row r="3508">
          <cell r="E3508" t="str">
            <v>HFMET190305A0509-16-128</v>
          </cell>
          <cell r="F3508" t="str">
            <v>Meta 64，F05</v>
          </cell>
          <cell r="G3508">
            <v>18</v>
          </cell>
          <cell r="I3508">
            <v>623</v>
          </cell>
          <cell r="J3508" t="str">
            <v>9.73</v>
          </cell>
          <cell r="K3508" t="str">
            <v>22.21</v>
          </cell>
          <cell r="L3508" t="str">
            <v>合格</v>
          </cell>
          <cell r="M3508" t="str">
            <v>王旭之</v>
          </cell>
          <cell r="N3508" t="str">
            <v>2019 03 05-D03</v>
          </cell>
          <cell r="O3508" t="str">
            <v>QSEP 100</v>
          </cell>
          <cell r="Q3508">
            <v>623</v>
          </cell>
          <cell r="R3508">
            <v>12.065200000000001</v>
          </cell>
        </row>
        <row r="3509">
          <cell r="E3509" t="str">
            <v>HFMET190305A0510-16-129</v>
          </cell>
          <cell r="F3509" t="str">
            <v>Meta 64，F06</v>
          </cell>
          <cell r="G3509">
            <v>18</v>
          </cell>
          <cell r="I3509">
            <v>611</v>
          </cell>
          <cell r="J3509" t="str">
            <v>11.94</v>
          </cell>
          <cell r="K3509" t="str">
            <v>27.85</v>
          </cell>
          <cell r="L3509" t="str">
            <v>合格</v>
          </cell>
          <cell r="M3509" t="str">
            <v>王旭之</v>
          </cell>
          <cell r="N3509" t="str">
            <v>2019 03 05-D04</v>
          </cell>
          <cell r="O3509" t="str">
            <v>QSEP 100</v>
          </cell>
          <cell r="Q3509">
            <v>611</v>
          </cell>
          <cell r="R3509">
            <v>14.8056</v>
          </cell>
        </row>
        <row r="3510">
          <cell r="E3510" t="str">
            <v>HFMET190305A0511-16-130</v>
          </cell>
          <cell r="F3510" t="str">
            <v>Meta 64，F07</v>
          </cell>
          <cell r="G3510">
            <v>18</v>
          </cell>
          <cell r="I3510">
            <v>612</v>
          </cell>
          <cell r="J3510" t="str">
            <v>13.88</v>
          </cell>
          <cell r="K3510" t="str">
            <v>32.26</v>
          </cell>
          <cell r="L3510" t="str">
            <v>合格</v>
          </cell>
          <cell r="M3510" t="str">
            <v>王旭之</v>
          </cell>
          <cell r="N3510" t="str">
            <v>2019 03 05-D05</v>
          </cell>
          <cell r="O3510" t="str">
            <v>QSEP 100</v>
          </cell>
          <cell r="Q3510">
            <v>612</v>
          </cell>
          <cell r="R3510">
            <v>17.211200000000002</v>
          </cell>
        </row>
        <row r="3511">
          <cell r="E3511" t="str">
            <v>HFMET190305A0512-16-131</v>
          </cell>
          <cell r="F3511" t="str">
            <v>Meta 64，F08</v>
          </cell>
          <cell r="G3511">
            <v>18</v>
          </cell>
          <cell r="I3511">
            <v>610</v>
          </cell>
          <cell r="J3511" t="str">
            <v>12.62</v>
          </cell>
          <cell r="K3511" t="str">
            <v>29.52</v>
          </cell>
          <cell r="L3511" t="str">
            <v>合格</v>
          </cell>
          <cell r="M3511" t="str">
            <v>王旭之</v>
          </cell>
          <cell r="N3511" t="str">
            <v>2019 03 05-D06</v>
          </cell>
          <cell r="O3511" t="str">
            <v>QSEP 100</v>
          </cell>
          <cell r="Q3511">
            <v>610</v>
          </cell>
          <cell r="R3511">
            <v>15.6488</v>
          </cell>
        </row>
        <row r="3512">
          <cell r="E3512" t="str">
            <v>HFMET190305A0513-16-132</v>
          </cell>
          <cell r="F3512" t="str">
            <v>Meta 64，F09</v>
          </cell>
          <cell r="G3512">
            <v>18</v>
          </cell>
          <cell r="I3512">
            <v>635</v>
          </cell>
          <cell r="J3512" t="str">
            <v>11.40</v>
          </cell>
          <cell r="K3512" t="str">
            <v>25.72</v>
          </cell>
          <cell r="L3512" t="str">
            <v>合格</v>
          </cell>
          <cell r="M3512" t="str">
            <v>王旭之</v>
          </cell>
          <cell r="N3512" t="str">
            <v>2019 03 05-D07</v>
          </cell>
          <cell r="O3512" t="str">
            <v>QSEP 100</v>
          </cell>
          <cell r="Q3512">
            <v>635</v>
          </cell>
          <cell r="R3512">
            <v>14.136000000000001</v>
          </cell>
        </row>
        <row r="3513">
          <cell r="E3513" t="str">
            <v>HFMET190305A0514-16-133</v>
          </cell>
          <cell r="F3513" t="str">
            <v>Meta 64，F10</v>
          </cell>
          <cell r="G3513">
            <v>18</v>
          </cell>
          <cell r="I3513">
            <v>600</v>
          </cell>
          <cell r="J3513" t="str">
            <v>20.48</v>
          </cell>
          <cell r="K3513" t="str">
            <v>48.16</v>
          </cell>
          <cell r="L3513" t="str">
            <v>合格</v>
          </cell>
          <cell r="M3513" t="str">
            <v>王旭之</v>
          </cell>
          <cell r="N3513" t="str">
            <v>2019 03 05-D08</v>
          </cell>
          <cell r="O3513" t="str">
            <v>QSEP 100</v>
          </cell>
          <cell r="Q3513">
            <v>600</v>
          </cell>
          <cell r="R3513">
            <v>25.395199999999999</v>
          </cell>
        </row>
        <row r="3514">
          <cell r="E3514" t="str">
            <v>HFMET190305A0515-16-134</v>
          </cell>
          <cell r="F3514" t="str">
            <v>Meta 64，F11</v>
          </cell>
          <cell r="G3514">
            <v>18</v>
          </cell>
          <cell r="I3514">
            <v>625</v>
          </cell>
          <cell r="J3514" t="str">
            <v>16.23</v>
          </cell>
          <cell r="K3514" t="str">
            <v>36.85</v>
          </cell>
          <cell r="L3514" t="str">
            <v>合格</v>
          </cell>
          <cell r="M3514" t="str">
            <v>王旭之</v>
          </cell>
          <cell r="N3514" t="str">
            <v>2019 03 05-D09</v>
          </cell>
          <cell r="O3514" t="str">
            <v>QSEP 100</v>
          </cell>
          <cell r="Q3514">
            <v>625</v>
          </cell>
          <cell r="R3514">
            <v>20.1252</v>
          </cell>
        </row>
        <row r="3515">
          <cell r="E3515" t="str">
            <v>HFMET190305A0516-17-127</v>
          </cell>
          <cell r="F3515" t="str">
            <v>Meta 64，F12</v>
          </cell>
          <cell r="G3515">
            <v>18</v>
          </cell>
          <cell r="I3515">
            <v>601</v>
          </cell>
          <cell r="J3515" t="str">
            <v>22.14</v>
          </cell>
          <cell r="K3515" t="str">
            <v>51.45</v>
          </cell>
          <cell r="L3515" t="str">
            <v>合格</v>
          </cell>
          <cell r="M3515" t="str">
            <v>王旭之</v>
          </cell>
          <cell r="N3515" t="str">
            <v>2019 03 05-D10</v>
          </cell>
          <cell r="O3515" t="str">
            <v>QSEP 100</v>
          </cell>
          <cell r="Q3515">
            <v>601</v>
          </cell>
          <cell r="R3515">
            <v>27.453600000000002</v>
          </cell>
        </row>
        <row r="3516">
          <cell r="E3516" t="str">
            <v>HFMET190305A0517-17-128</v>
          </cell>
          <cell r="F3516" t="str">
            <v>Meta 64，G01</v>
          </cell>
          <cell r="G3516">
            <v>18</v>
          </cell>
          <cell r="I3516">
            <v>616</v>
          </cell>
          <cell r="J3516" t="str">
            <v>16.01</v>
          </cell>
          <cell r="K3516" t="str">
            <v>36.69</v>
          </cell>
          <cell r="L3516" t="str">
            <v>合格</v>
          </cell>
          <cell r="M3516" t="str">
            <v>王旭之</v>
          </cell>
          <cell r="N3516" t="str">
            <v>2019 03 05-D11</v>
          </cell>
          <cell r="O3516" t="str">
            <v>QSEP 100</v>
          </cell>
          <cell r="Q3516">
            <v>616</v>
          </cell>
          <cell r="R3516">
            <v>19.852400000000003</v>
          </cell>
        </row>
        <row r="3517">
          <cell r="E3517" t="str">
            <v>HFMET190305A0518-17-129</v>
          </cell>
          <cell r="F3517" t="str">
            <v>Meta 64，G02</v>
          </cell>
          <cell r="G3517">
            <v>18</v>
          </cell>
          <cell r="I3517">
            <v>586</v>
          </cell>
          <cell r="J3517" t="str">
            <v>17.82</v>
          </cell>
          <cell r="K3517" t="str">
            <v>42.63</v>
          </cell>
          <cell r="L3517" t="str">
            <v>合格</v>
          </cell>
          <cell r="M3517" t="str">
            <v>王旭之</v>
          </cell>
          <cell r="N3517" t="str">
            <v>2019 03 05-D12</v>
          </cell>
          <cell r="O3517" t="str">
            <v>QSEP 100</v>
          </cell>
          <cell r="Q3517">
            <v>586</v>
          </cell>
          <cell r="R3517">
            <v>22.096800000000002</v>
          </cell>
        </row>
        <row r="3518">
          <cell r="E3518" t="str">
            <v>HFMET190305A0519-17-130</v>
          </cell>
          <cell r="F3518" t="str">
            <v>Meta 64，G03</v>
          </cell>
          <cell r="G3518">
            <v>18</v>
          </cell>
          <cell r="I3518">
            <v>603</v>
          </cell>
          <cell r="J3518" t="str">
            <v>18.01</v>
          </cell>
          <cell r="K3518" t="str">
            <v>41.72</v>
          </cell>
          <cell r="L3518" t="str">
            <v>合格</v>
          </cell>
          <cell r="M3518" t="str">
            <v>王旭之</v>
          </cell>
          <cell r="N3518" t="str">
            <v>2019 03 05-E01</v>
          </cell>
          <cell r="O3518" t="str">
            <v>QSEP 100</v>
          </cell>
          <cell r="Q3518">
            <v>603</v>
          </cell>
          <cell r="R3518">
            <v>22.332400000000003</v>
          </cell>
        </row>
        <row r="3519">
          <cell r="E3519" t="str">
            <v>HFMET190305A0520-17-131</v>
          </cell>
          <cell r="F3519" t="str">
            <v>Meta 64，G04</v>
          </cell>
          <cell r="G3519">
            <v>18</v>
          </cell>
          <cell r="I3519">
            <v>592</v>
          </cell>
          <cell r="J3519" t="str">
            <v>16.81</v>
          </cell>
          <cell r="K3519" t="str">
            <v>39.74</v>
          </cell>
          <cell r="L3519" t="str">
            <v>合格</v>
          </cell>
          <cell r="M3519" t="str">
            <v>王旭之</v>
          </cell>
          <cell r="N3519" t="str">
            <v>2019 03 05-E02</v>
          </cell>
          <cell r="O3519" t="str">
            <v>QSEP 100</v>
          </cell>
          <cell r="Q3519">
            <v>592</v>
          </cell>
          <cell r="R3519">
            <v>20.844399999999997</v>
          </cell>
        </row>
        <row r="3520">
          <cell r="E3520" t="str">
            <v>HFMET190305A0521-17-132</v>
          </cell>
          <cell r="F3520" t="str">
            <v>Meta 64，G05</v>
          </cell>
          <cell r="G3520">
            <v>18</v>
          </cell>
          <cell r="I3520">
            <v>605</v>
          </cell>
          <cell r="J3520" t="str">
            <v>17.60</v>
          </cell>
          <cell r="K3520" t="str">
            <v>40.86</v>
          </cell>
          <cell r="L3520" t="str">
            <v>合格</v>
          </cell>
          <cell r="M3520" t="str">
            <v>王旭之</v>
          </cell>
          <cell r="N3520" t="str">
            <v>2019 03 05-E03</v>
          </cell>
          <cell r="O3520" t="str">
            <v>QSEP 100</v>
          </cell>
          <cell r="Q3520">
            <v>605</v>
          </cell>
          <cell r="R3520">
            <v>21.824000000000002</v>
          </cell>
        </row>
        <row r="3521">
          <cell r="E3521" t="str">
            <v>HFMET190305A0522-17-133</v>
          </cell>
          <cell r="F3521" t="str">
            <v>Meta 64，G06</v>
          </cell>
          <cell r="G3521">
            <v>18</v>
          </cell>
          <cell r="I3521">
            <v>618</v>
          </cell>
          <cell r="J3521" t="str">
            <v>17.54</v>
          </cell>
          <cell r="K3521" t="str">
            <v>39.72</v>
          </cell>
          <cell r="L3521" t="str">
            <v>合格</v>
          </cell>
          <cell r="M3521" t="str">
            <v>王旭之</v>
          </cell>
          <cell r="N3521" t="str">
            <v>2019 03 05-E04</v>
          </cell>
          <cell r="O3521" t="str">
            <v>QSEP 100</v>
          </cell>
          <cell r="Q3521">
            <v>618</v>
          </cell>
          <cell r="R3521">
            <v>21.749599999999997</v>
          </cell>
        </row>
        <row r="3522">
          <cell r="E3522" t="str">
            <v>HFMET190305A0523-17-134</v>
          </cell>
          <cell r="F3522" t="str">
            <v>Meta 64，G07</v>
          </cell>
          <cell r="G3522">
            <v>18</v>
          </cell>
          <cell r="I3522">
            <v>601</v>
          </cell>
          <cell r="J3522" t="str">
            <v>19.14</v>
          </cell>
          <cell r="K3522" t="str">
            <v>44.58</v>
          </cell>
          <cell r="L3522" t="str">
            <v>合格</v>
          </cell>
          <cell r="M3522" t="str">
            <v>王旭之</v>
          </cell>
          <cell r="N3522" t="str">
            <v>2019 03 05-E05</v>
          </cell>
          <cell r="O3522" t="str">
            <v>QSEP 100</v>
          </cell>
          <cell r="Q3522">
            <v>601</v>
          </cell>
          <cell r="R3522">
            <v>23.733599999999999</v>
          </cell>
        </row>
        <row r="3523">
          <cell r="E3523" t="str">
            <v>HFMET190305A0524-93-123</v>
          </cell>
          <cell r="F3523" t="str">
            <v>Meta 64，G08</v>
          </cell>
          <cell r="G3523">
            <v>18</v>
          </cell>
          <cell r="I3523">
            <v>630</v>
          </cell>
          <cell r="J3523" t="str">
            <v>13.11</v>
          </cell>
          <cell r="K3523" t="str">
            <v>29.63</v>
          </cell>
          <cell r="L3523" t="str">
            <v>合格</v>
          </cell>
          <cell r="M3523" t="str">
            <v>王旭之</v>
          </cell>
          <cell r="N3523" t="str">
            <v>2019 03 05-E06</v>
          </cell>
          <cell r="O3523" t="str">
            <v>QSEP 100</v>
          </cell>
          <cell r="Q3523">
            <v>630</v>
          </cell>
          <cell r="R3523">
            <v>16.256399999999999</v>
          </cell>
        </row>
        <row r="3524">
          <cell r="E3524" t="str">
            <v>HFMET190305A0525-94-123</v>
          </cell>
          <cell r="F3524" t="str">
            <v>Meta 64，G09</v>
          </cell>
          <cell r="G3524">
            <v>18</v>
          </cell>
          <cell r="I3524">
            <v>620</v>
          </cell>
          <cell r="J3524" t="str">
            <v>15.43</v>
          </cell>
          <cell r="K3524" t="str">
            <v>35.25</v>
          </cell>
          <cell r="L3524" t="str">
            <v>合格</v>
          </cell>
          <cell r="M3524" t="str">
            <v>王旭之</v>
          </cell>
          <cell r="N3524" t="str">
            <v>2019 03 05-E07</v>
          </cell>
          <cell r="O3524" t="str">
            <v>QSEP 100</v>
          </cell>
          <cell r="Q3524">
            <v>620</v>
          </cell>
          <cell r="R3524">
            <v>19.133199999999999</v>
          </cell>
        </row>
        <row r="3525">
          <cell r="E3525" t="str">
            <v>HFMET190305A0526-110-125</v>
          </cell>
          <cell r="F3525" t="str">
            <v>Meta 64，G10</v>
          </cell>
          <cell r="G3525">
            <v>18</v>
          </cell>
          <cell r="I3525">
            <v>601</v>
          </cell>
          <cell r="J3525" t="str">
            <v>20.51</v>
          </cell>
          <cell r="K3525" t="str">
            <v>47.73</v>
          </cell>
          <cell r="L3525" t="str">
            <v>合格</v>
          </cell>
          <cell r="M3525" t="str">
            <v>王旭之</v>
          </cell>
          <cell r="N3525" t="str">
            <v>2019 03 05-E08</v>
          </cell>
          <cell r="O3525" t="str">
            <v>QSEP 100</v>
          </cell>
          <cell r="Q3525">
            <v>601</v>
          </cell>
          <cell r="R3525">
            <v>25.432400000000001</v>
          </cell>
        </row>
        <row r="3526">
          <cell r="E3526" t="str">
            <v>HFMET190305A0527-110-116</v>
          </cell>
          <cell r="F3526" t="str">
            <v>Meta 64，G11</v>
          </cell>
          <cell r="G3526">
            <v>18</v>
          </cell>
          <cell r="I3526">
            <v>662</v>
          </cell>
          <cell r="J3526" t="str">
            <v>0.11</v>
          </cell>
          <cell r="K3526" t="str">
            <v>0.26</v>
          </cell>
          <cell r="L3526" t="str">
            <v>合格</v>
          </cell>
          <cell r="M3526" t="str">
            <v>王旭之</v>
          </cell>
          <cell r="N3526" t="str">
            <v>2019 03 05-E09</v>
          </cell>
          <cell r="O3526" t="str">
            <v>QSEP 100</v>
          </cell>
          <cell r="Q3526">
            <v>662</v>
          </cell>
          <cell r="R3526">
            <v>0.13639999999999999</v>
          </cell>
        </row>
        <row r="3527">
          <cell r="E3527" t="str">
            <v>HFMET190305A0528-110-117</v>
          </cell>
          <cell r="F3527" t="str">
            <v>Meta 64，G12</v>
          </cell>
          <cell r="G3527">
            <v>18</v>
          </cell>
          <cell r="I3527">
            <v>0</v>
          </cell>
          <cell r="J3527" t="str">
            <v>0.04</v>
          </cell>
          <cell r="K3527" t="str">
            <v>0.09</v>
          </cell>
          <cell r="L3527" t="str">
            <v>合格</v>
          </cell>
          <cell r="M3527" t="str">
            <v>王旭之</v>
          </cell>
          <cell r="N3527" t="str">
            <v>2019 03 05-E10</v>
          </cell>
          <cell r="O3527" t="str">
            <v>QSEP 100</v>
          </cell>
          <cell r="Q3527">
            <v>0</v>
          </cell>
          <cell r="R3527">
            <v>4.9599999999999998E-2</v>
          </cell>
        </row>
        <row r="3528">
          <cell r="E3528" t="str">
            <v>HFMET190305A0529-110-118</v>
          </cell>
          <cell r="F3528" t="str">
            <v>Meta 64，H01</v>
          </cell>
          <cell r="G3528">
            <v>18</v>
          </cell>
          <cell r="I3528">
            <v>665</v>
          </cell>
          <cell r="J3528" t="str">
            <v>0.09</v>
          </cell>
          <cell r="K3528" t="str">
            <v>0.20</v>
          </cell>
          <cell r="L3528" t="str">
            <v>合格</v>
          </cell>
          <cell r="M3528" t="str">
            <v>王旭之</v>
          </cell>
          <cell r="N3528" t="str">
            <v>2019 03 05-E11</v>
          </cell>
          <cell r="O3528" t="str">
            <v>QSEP 100</v>
          </cell>
          <cell r="Q3528">
            <v>665</v>
          </cell>
          <cell r="R3528">
            <v>0.11159999999999999</v>
          </cell>
        </row>
        <row r="3530">
          <cell r="E3530" t="str">
            <v>HFMET190306B502-1-129</v>
          </cell>
          <cell r="F3530" t="str">
            <v>Meta 64，H02</v>
          </cell>
          <cell r="G3530">
            <v>18</v>
          </cell>
          <cell r="I3530">
            <v>643</v>
          </cell>
          <cell r="J3530">
            <v>5.0979736064075576</v>
          </cell>
          <cell r="K3530">
            <v>11.797672544481493</v>
          </cell>
          <cell r="L3530" t="str">
            <v>合格</v>
          </cell>
          <cell r="M3530" t="str">
            <v>张慧</v>
          </cell>
          <cell r="N3530" t="str">
            <v>2019 03 08-A06</v>
          </cell>
          <cell r="O3530" t="str">
            <v>QSEP 100</v>
          </cell>
          <cell r="Q3530">
            <v>643</v>
          </cell>
          <cell r="R3530">
            <v>5.0979736064075576</v>
          </cell>
        </row>
        <row r="3531">
          <cell r="E3531" t="str">
            <v>HFMET190306B130-21-127</v>
          </cell>
          <cell r="F3531" t="str">
            <v>Meta 64，H03</v>
          </cell>
          <cell r="G3531">
            <v>18</v>
          </cell>
          <cell r="I3531">
            <v>572</v>
          </cell>
          <cell r="J3531">
            <v>30.632171843718456</v>
          </cell>
          <cell r="K3531">
            <v>75.054539906098341</v>
          </cell>
          <cell r="L3531" t="str">
            <v>合格</v>
          </cell>
          <cell r="M3531" t="str">
            <v>张慧</v>
          </cell>
          <cell r="N3531" t="str">
            <v>2019 03 08-A07</v>
          </cell>
          <cell r="O3531" t="str">
            <v>QSEP 100</v>
          </cell>
          <cell r="Q3531">
            <v>572</v>
          </cell>
          <cell r="R3531">
            <v>30.632171843718456</v>
          </cell>
        </row>
        <row r="3532">
          <cell r="E3532" t="str">
            <v>HFMET190306B136-21-128</v>
          </cell>
          <cell r="F3532" t="str">
            <v>Meta 64，H04</v>
          </cell>
          <cell r="G3532">
            <v>18</v>
          </cell>
          <cell r="I3532">
            <v>591</v>
          </cell>
          <cell r="J3532">
            <v>20.185020134355721</v>
          </cell>
          <cell r="K3532">
            <v>48.539419074342831</v>
          </cell>
          <cell r="L3532" t="str">
            <v>合格</v>
          </cell>
          <cell r="M3532" t="str">
            <v>张慧</v>
          </cell>
          <cell r="N3532" t="str">
            <v>2019 03 08-A08</v>
          </cell>
          <cell r="O3532" t="str">
            <v>QSEP 100</v>
          </cell>
          <cell r="Q3532">
            <v>591</v>
          </cell>
          <cell r="R3532">
            <v>20.185020134355721</v>
          </cell>
        </row>
        <row r="3533">
          <cell r="E3533" t="str">
            <v>HFMET190305A0530-110-124</v>
          </cell>
          <cell r="F3533" t="str">
            <v>Meta 64，H05</v>
          </cell>
          <cell r="G3533">
            <v>18</v>
          </cell>
          <cell r="I3533">
            <v>0</v>
          </cell>
          <cell r="J3533">
            <v>0.13299061581932758</v>
          </cell>
          <cell r="K3533">
            <v>0.29642393327842947</v>
          </cell>
          <cell r="L3533" t="str">
            <v>合格</v>
          </cell>
          <cell r="M3533" t="str">
            <v>张慧</v>
          </cell>
          <cell r="N3533" t="str">
            <v>2019 03 08-A09</v>
          </cell>
          <cell r="O3533" t="str">
            <v>QSEP 100</v>
          </cell>
          <cell r="Q3533">
            <v>0</v>
          </cell>
          <cell r="R3533">
            <v>0.13299061581932758</v>
          </cell>
        </row>
        <row r="3534">
          <cell r="E3534" t="str">
            <v>HFMET190305A0531-110-126</v>
          </cell>
          <cell r="F3534" t="str">
            <v>Meta 64，H06</v>
          </cell>
          <cell r="G3534">
            <v>18</v>
          </cell>
          <cell r="I3534">
            <v>0</v>
          </cell>
          <cell r="J3534">
            <v>8.8660410546218399E-2</v>
          </cell>
          <cell r="K3534">
            <v>0.19267555663097918</v>
          </cell>
          <cell r="L3534" t="str">
            <v>合格</v>
          </cell>
          <cell r="M3534" t="str">
            <v>张慧</v>
          </cell>
          <cell r="N3534" t="str">
            <v>2019 03 08-A10</v>
          </cell>
          <cell r="O3534" t="str">
            <v>QSEP 100</v>
          </cell>
          <cell r="Q3534">
            <v>0</v>
          </cell>
          <cell r="R3534">
            <v>8.8660410546218399E-2</v>
          </cell>
        </row>
        <row r="3535">
          <cell r="E3535" t="str">
            <v>HFMET190305A0532-110-127</v>
          </cell>
          <cell r="F3535" t="str">
            <v>Meta 64，H07</v>
          </cell>
          <cell r="G3535">
            <v>18</v>
          </cell>
          <cell r="I3535">
            <v>0</v>
          </cell>
          <cell r="J3535">
            <v>7.3883675455181999E-2</v>
          </cell>
          <cell r="K3535">
            <v>0.17785435996705767</v>
          </cell>
          <cell r="L3535" t="str">
            <v>合格</v>
          </cell>
          <cell r="M3535" t="str">
            <v>张慧</v>
          </cell>
          <cell r="N3535" t="str">
            <v>2019 03 08-A11</v>
          </cell>
          <cell r="O3535" t="str">
            <v>QSEP 100</v>
          </cell>
          <cell r="Q3535">
            <v>0</v>
          </cell>
          <cell r="R3535">
            <v>7.3883675455181999E-2</v>
          </cell>
        </row>
        <row r="3537">
          <cell r="E3537" t="str">
            <v>HFMET190314A0533-21-129</v>
          </cell>
          <cell r="F3537" t="str">
            <v>Meta 64，H08</v>
          </cell>
          <cell r="G3537">
            <v>18</v>
          </cell>
          <cell r="J3537" t="str">
            <v>12.20</v>
          </cell>
          <cell r="K3537" t="str">
            <v>27.74</v>
          </cell>
          <cell r="L3537" t="str">
            <v>合格</v>
          </cell>
          <cell r="M3537" t="str">
            <v>张慧</v>
          </cell>
          <cell r="N3537" t="str">
            <v>2019 03 14-A1</v>
          </cell>
          <cell r="O3537" t="str">
            <v>QSEP 100</v>
          </cell>
          <cell r="Q3537">
            <v>628</v>
          </cell>
          <cell r="R3537">
            <v>33.061999999999998</v>
          </cell>
        </row>
        <row r="3538">
          <cell r="E3538" t="str">
            <v>HFMET190314A0534-21-129</v>
          </cell>
          <cell r="F3538" t="str">
            <v>Meta 64，H09</v>
          </cell>
          <cell r="G3538">
            <v>18</v>
          </cell>
          <cell r="J3538" t="str">
            <v>0.03</v>
          </cell>
          <cell r="K3538" t="str">
            <v>0.06</v>
          </cell>
          <cell r="L3538" t="str">
            <v>合格</v>
          </cell>
          <cell r="M3538" t="str">
            <v>张慧</v>
          </cell>
          <cell r="N3538" t="str">
            <v>2020 03 14-A2</v>
          </cell>
          <cell r="O3538" t="str">
            <v>QSEP 100</v>
          </cell>
          <cell r="Q3538">
            <v>0</v>
          </cell>
          <cell r="R3538">
            <v>8.1299999999999997E-2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6"/>
  <sheetViews>
    <sheetView tabSelected="1" topLeftCell="A154" workbookViewId="0">
      <selection activeCell="H184" sqref="H184"/>
    </sheetView>
  </sheetViews>
  <sheetFormatPr defaultRowHeight="13.5" x14ac:dyDescent="0.15"/>
  <cols>
    <col min="1" max="1" width="68.75" style="4" bestFit="1" customWidth="1"/>
    <col min="2" max="2" width="9" style="4"/>
    <col min="3" max="3" width="15.25" style="4" bestFit="1" customWidth="1"/>
    <col min="4" max="4" width="9" style="4"/>
    <col min="5" max="6" width="14" style="4" bestFit="1" customWidth="1"/>
    <col min="7" max="7" width="18.875" style="4" bestFit="1" customWidth="1"/>
    <col min="8" max="8" width="10.25" style="4" bestFit="1" customWidth="1"/>
    <col min="9" max="9" width="9.75" style="4" bestFit="1" customWidth="1"/>
    <col min="10" max="10" width="9" style="4"/>
    <col min="11" max="11" width="18.375" style="4" bestFit="1" customWidth="1"/>
    <col min="12" max="16384" width="9" style="4"/>
  </cols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19" customFormat="1" x14ac:dyDescent="0.15">
      <c r="A2" s="25" t="s">
        <v>39</v>
      </c>
      <c r="B2" s="22" t="s">
        <v>47</v>
      </c>
      <c r="C2" s="26" t="s">
        <v>219</v>
      </c>
      <c r="D2" s="22">
        <v>0.01</v>
      </c>
      <c r="E2" s="22"/>
      <c r="F2" s="22" t="s">
        <v>224</v>
      </c>
      <c r="G2" s="22" t="s">
        <v>233</v>
      </c>
      <c r="H2" s="22">
        <v>61.571199999999997</v>
      </c>
      <c r="I2" s="27">
        <v>506</v>
      </c>
      <c r="J2" s="19" t="s">
        <v>433</v>
      </c>
    </row>
    <row r="3" spans="1:61" s="19" customFormat="1" x14ac:dyDescent="0.15">
      <c r="A3" s="25" t="s">
        <v>39</v>
      </c>
      <c r="B3" s="22" t="s">
        <v>48</v>
      </c>
      <c r="C3" s="26" t="s">
        <v>219</v>
      </c>
      <c r="D3" s="22">
        <v>0.01</v>
      </c>
      <c r="E3" s="22"/>
      <c r="F3" s="22" t="s">
        <v>225</v>
      </c>
      <c r="G3" s="22" t="s">
        <v>234</v>
      </c>
      <c r="H3" s="22">
        <v>58.779900000000005</v>
      </c>
      <c r="I3" s="27">
        <v>511</v>
      </c>
      <c r="J3" s="19" t="s">
        <v>433</v>
      </c>
    </row>
    <row r="4" spans="1:61" s="19" customFormat="1" x14ac:dyDescent="0.15">
      <c r="A4" s="25" t="s">
        <v>39</v>
      </c>
      <c r="B4" s="22" t="s">
        <v>49</v>
      </c>
      <c r="C4" s="26" t="s">
        <v>219</v>
      </c>
      <c r="D4" s="22">
        <v>0.01</v>
      </c>
      <c r="E4" s="22"/>
      <c r="F4" s="22" t="s">
        <v>226</v>
      </c>
      <c r="G4" s="22" t="s">
        <v>235</v>
      </c>
      <c r="H4" s="22">
        <v>57.126799999999996</v>
      </c>
      <c r="I4" s="27">
        <v>515</v>
      </c>
      <c r="J4" s="19" t="s">
        <v>433</v>
      </c>
    </row>
    <row r="5" spans="1:61" s="19" customFormat="1" x14ac:dyDescent="0.15">
      <c r="A5" s="25" t="s">
        <v>39</v>
      </c>
      <c r="B5" s="22" t="s">
        <v>50</v>
      </c>
      <c r="C5" s="26" t="s">
        <v>219</v>
      </c>
      <c r="D5" s="22">
        <v>0.01</v>
      </c>
      <c r="E5" s="22"/>
      <c r="F5" s="22" t="s">
        <v>227</v>
      </c>
      <c r="G5" s="22" t="s">
        <v>236</v>
      </c>
      <c r="H5" s="22">
        <v>60.893699999999995</v>
      </c>
      <c r="I5" s="27">
        <v>514</v>
      </c>
      <c r="J5" s="19" t="s">
        <v>433</v>
      </c>
    </row>
    <row r="6" spans="1:61" s="19" customFormat="1" x14ac:dyDescent="0.15">
      <c r="A6" s="25" t="s">
        <v>39</v>
      </c>
      <c r="B6" s="22" t="s">
        <v>51</v>
      </c>
      <c r="C6" s="26" t="s">
        <v>219</v>
      </c>
      <c r="D6" s="22">
        <v>0.01</v>
      </c>
      <c r="E6" s="22"/>
      <c r="F6" s="22" t="s">
        <v>228</v>
      </c>
      <c r="G6" s="22" t="s">
        <v>237</v>
      </c>
      <c r="H6" s="22">
        <v>52.953399999999995</v>
      </c>
      <c r="I6" s="27">
        <v>513</v>
      </c>
      <c r="J6" s="19" t="s">
        <v>433</v>
      </c>
    </row>
    <row r="7" spans="1:61" x14ac:dyDescent="0.15">
      <c r="A7" s="7" t="s">
        <v>41</v>
      </c>
      <c r="B7" s="13" t="s">
        <v>56</v>
      </c>
      <c r="C7" s="9" t="s">
        <v>25</v>
      </c>
      <c r="D7" s="8">
        <v>6.5000000000000002E-2</v>
      </c>
      <c r="E7" s="7" t="s">
        <v>24</v>
      </c>
      <c r="F7" s="7" t="s">
        <v>413</v>
      </c>
      <c r="G7" s="16" t="s">
        <v>242</v>
      </c>
      <c r="H7" s="8">
        <f>VLOOKUP(G7,[1]Meta文库质检结果汇总表!$E$2884:$R$3538,14,0)</f>
        <v>14.036799999999999</v>
      </c>
      <c r="I7" s="18">
        <f>VLOOKUP(G7,[1]Meta文库质检结果汇总表!$E$2355:$Q$3538,13,0)</f>
        <v>614</v>
      </c>
      <c r="J7" s="4" t="str">
        <f>VLOOKUP(G7,[1]Meta文库质检结果汇总表!$E$1936:$O$3538,11,0)</f>
        <v>QSEP 100</v>
      </c>
    </row>
    <row r="8" spans="1:61" x14ac:dyDescent="0.15">
      <c r="A8" s="7" t="s">
        <v>41</v>
      </c>
      <c r="B8" s="13" t="s">
        <v>57</v>
      </c>
      <c r="C8" s="9" t="s">
        <v>25</v>
      </c>
      <c r="D8" s="8">
        <v>6.5000000000000002E-2</v>
      </c>
      <c r="E8" s="7" t="s">
        <v>17</v>
      </c>
      <c r="F8" s="7" t="s">
        <v>413</v>
      </c>
      <c r="G8" s="16" t="s">
        <v>243</v>
      </c>
      <c r="H8" s="8">
        <f>VLOOKUP(G8,[1]Meta文库质检结果汇总表!$E$2884:$R$3538,14,0)</f>
        <v>13.2308</v>
      </c>
      <c r="I8" s="18">
        <f>VLOOKUP(G8,[1]Meta文库质检结果汇总表!$E$2355:$Q$3538,13,0)</f>
        <v>622</v>
      </c>
      <c r="J8" s="4" t="str">
        <f>VLOOKUP(G8,[1]Meta文库质检结果汇总表!$E$1936:$O$3538,11,0)</f>
        <v>QSEP 100</v>
      </c>
    </row>
    <row r="9" spans="1:61" x14ac:dyDescent="0.15">
      <c r="A9" s="7" t="s">
        <v>41</v>
      </c>
      <c r="B9" s="13" t="s">
        <v>58</v>
      </c>
      <c r="C9" s="9" t="s">
        <v>25</v>
      </c>
      <c r="D9" s="8">
        <v>6.5000000000000002E-2</v>
      </c>
      <c r="E9" s="7" t="s">
        <v>18</v>
      </c>
      <c r="F9" s="7" t="s">
        <v>413</v>
      </c>
      <c r="G9" s="16" t="s">
        <v>244</v>
      </c>
      <c r="H9" s="8">
        <f>VLOOKUP(G9,[1]Meta文库质检结果汇总表!$E$2884:$R$3538,14,0)</f>
        <v>16.5044</v>
      </c>
      <c r="I9" s="18">
        <f>VLOOKUP(G9,[1]Meta文库质检结果汇总表!$E$2355:$Q$3538,13,0)</f>
        <v>619</v>
      </c>
      <c r="J9" s="4" t="str">
        <f>VLOOKUP(G9,[1]Meta文库质检结果汇总表!$E$1936:$O$3538,11,0)</f>
        <v>QSEP 100</v>
      </c>
    </row>
    <row r="10" spans="1:61" x14ac:dyDescent="0.15">
      <c r="A10" s="7" t="s">
        <v>41</v>
      </c>
      <c r="B10" s="13" t="s">
        <v>59</v>
      </c>
      <c r="C10" s="9" t="s">
        <v>25</v>
      </c>
      <c r="D10" s="8">
        <v>6.5000000000000002E-2</v>
      </c>
      <c r="E10" s="7" t="s">
        <v>19</v>
      </c>
      <c r="F10" s="7" t="s">
        <v>413</v>
      </c>
      <c r="G10" s="16" t="s">
        <v>245</v>
      </c>
      <c r="H10" s="8">
        <f>VLOOKUP(G10,[1]Meta文库质检结果汇总表!$E$2884:$R$3538,14,0)</f>
        <v>9.3868000000000009</v>
      </c>
      <c r="I10" s="18">
        <f>VLOOKUP(G10,[1]Meta文库质检结果汇总表!$E$2355:$Q$3538,13,0)</f>
        <v>636</v>
      </c>
      <c r="J10" s="4" t="str">
        <f>VLOOKUP(G10,[1]Meta文库质检结果汇总表!$E$1936:$O$3538,11,0)</f>
        <v>QSEP 100</v>
      </c>
    </row>
    <row r="11" spans="1:61" x14ac:dyDescent="0.15">
      <c r="A11" s="7" t="s">
        <v>41</v>
      </c>
      <c r="B11" s="13" t="s">
        <v>60</v>
      </c>
      <c r="C11" s="9" t="s">
        <v>25</v>
      </c>
      <c r="D11" s="8">
        <v>6.5000000000000002E-2</v>
      </c>
      <c r="E11" s="7" t="s">
        <v>20</v>
      </c>
      <c r="F11" s="7" t="s">
        <v>413</v>
      </c>
      <c r="G11" s="16" t="s">
        <v>246</v>
      </c>
      <c r="H11" s="8">
        <f>VLOOKUP(G11,[1]Meta文库质检结果汇总表!$E$2884:$R$3538,14,0)</f>
        <v>18.959599999999998</v>
      </c>
      <c r="I11" s="18">
        <f>VLOOKUP(G11,[1]Meta文库质检结果汇总表!$E$2355:$Q$3538,13,0)</f>
        <v>600</v>
      </c>
      <c r="J11" s="4" t="str">
        <f>VLOOKUP(G11,[1]Meta文库质检结果汇总表!$E$1936:$O$3538,11,0)</f>
        <v>QSEP 100</v>
      </c>
    </row>
    <row r="12" spans="1:61" x14ac:dyDescent="0.15">
      <c r="A12" s="4" t="s">
        <v>41</v>
      </c>
      <c r="B12" s="13" t="s">
        <v>61</v>
      </c>
      <c r="C12" s="9" t="s">
        <v>25</v>
      </c>
      <c r="D12" s="8">
        <v>6.5000000000000002E-2</v>
      </c>
      <c r="E12" s="4" t="s">
        <v>21</v>
      </c>
      <c r="F12" s="4" t="s">
        <v>413</v>
      </c>
      <c r="G12" s="16" t="s">
        <v>247</v>
      </c>
      <c r="H12" s="8">
        <f>VLOOKUP(G12,[1]Meta文库质检结果汇总表!$E$2884:$R$3538,14,0)</f>
        <v>18.103999999999999</v>
      </c>
      <c r="I12" s="18">
        <f>VLOOKUP(G12,[1]Meta文库质检结果汇总表!$E$2355:$Q$3538,13,0)</f>
        <v>611</v>
      </c>
      <c r="J12" s="4" t="str">
        <f>VLOOKUP(G12,[1]Meta文库质检结果汇总表!$E$1936:$O$3538,11,0)</f>
        <v>QSEP 100</v>
      </c>
    </row>
    <row r="13" spans="1:61" x14ac:dyDescent="0.15">
      <c r="A13" s="4" t="s">
        <v>41</v>
      </c>
      <c r="B13" s="13" t="s">
        <v>62</v>
      </c>
      <c r="C13" s="9" t="s">
        <v>25</v>
      </c>
      <c r="D13" s="8">
        <v>6.5000000000000002E-2</v>
      </c>
      <c r="E13" s="4" t="s">
        <v>22</v>
      </c>
      <c r="F13" s="4" t="s">
        <v>413</v>
      </c>
      <c r="G13" s="16" t="s">
        <v>248</v>
      </c>
      <c r="H13" s="8">
        <f>VLOOKUP(G13,[1]Meta文库质检结果汇总表!$E$2884:$R$3538,14,0)</f>
        <v>27.837999999999997</v>
      </c>
      <c r="I13" s="18">
        <f>VLOOKUP(G13,[1]Meta文库质检结果汇总表!$E$2355:$Q$3538,13,0)</f>
        <v>606</v>
      </c>
      <c r="J13" s="4" t="str">
        <f>VLOOKUP(G13,[1]Meta文库质检结果汇总表!$E$1936:$O$3538,11,0)</f>
        <v>QSEP 100</v>
      </c>
    </row>
    <row r="14" spans="1:61" x14ac:dyDescent="0.15">
      <c r="A14" s="4" t="s">
        <v>41</v>
      </c>
      <c r="B14" s="13" t="s">
        <v>63</v>
      </c>
      <c r="C14" s="9" t="s">
        <v>25</v>
      </c>
      <c r="D14" s="8">
        <v>6.5000000000000002E-2</v>
      </c>
      <c r="E14" s="4" t="s">
        <v>23</v>
      </c>
      <c r="F14" s="4" t="s">
        <v>413</v>
      </c>
      <c r="G14" s="16" t="s">
        <v>249</v>
      </c>
      <c r="H14" s="8">
        <f>VLOOKUP(G14,[1]Meta文库质检结果汇总表!$E$2884:$R$3538,14,0)</f>
        <v>23.497999999999998</v>
      </c>
      <c r="I14" s="18">
        <f>VLOOKUP(G14,[1]Meta文库质检结果汇总表!$E$2355:$Q$3538,13,0)</f>
        <v>629</v>
      </c>
      <c r="J14" s="4" t="str">
        <f>VLOOKUP(G14,[1]Meta文库质检结果汇总表!$E$1936:$O$3538,11,0)</f>
        <v>QSEP 100</v>
      </c>
    </row>
    <row r="15" spans="1:61" x14ac:dyDescent="0.15">
      <c r="A15" s="4" t="s">
        <v>41</v>
      </c>
      <c r="B15" s="13" t="s">
        <v>64</v>
      </c>
      <c r="C15" s="9" t="s">
        <v>25</v>
      </c>
      <c r="D15" s="8">
        <v>6.5000000000000002E-2</v>
      </c>
      <c r="E15" s="4" t="s">
        <v>24</v>
      </c>
      <c r="F15" s="4" t="s">
        <v>414</v>
      </c>
      <c r="G15" s="16" t="s">
        <v>250</v>
      </c>
      <c r="H15" s="8">
        <f>VLOOKUP(G15,[1]Meta文库质检结果汇总表!$E$2884:$R$3538,14,0)</f>
        <v>20.670800000000003</v>
      </c>
      <c r="I15" s="18">
        <f>VLOOKUP(G15,[1]Meta文库质检结果汇总表!$E$2355:$Q$3538,13,0)</f>
        <v>578</v>
      </c>
      <c r="J15" s="4" t="str">
        <f>VLOOKUP(G15,[1]Meta文库质检结果汇总表!$E$1936:$O$3538,11,0)</f>
        <v>QSEP 100</v>
      </c>
    </row>
    <row r="16" spans="1:61" x14ac:dyDescent="0.15">
      <c r="A16" s="4" t="s">
        <v>41</v>
      </c>
      <c r="B16" s="13" t="s">
        <v>65</v>
      </c>
      <c r="C16" s="9" t="s">
        <v>25</v>
      </c>
      <c r="D16" s="8">
        <v>6.5000000000000002E-2</v>
      </c>
      <c r="E16" s="4" t="s">
        <v>17</v>
      </c>
      <c r="F16" s="4" t="s">
        <v>414</v>
      </c>
      <c r="G16" s="16" t="s">
        <v>251</v>
      </c>
      <c r="H16" s="8">
        <f>VLOOKUP(G16,[1]Meta文库质检结果汇总表!$E$2884:$R$3538,14,0)</f>
        <v>17.136800000000001</v>
      </c>
      <c r="I16" s="18">
        <f>VLOOKUP(G16,[1]Meta文库质检结果汇总表!$E$2355:$Q$3538,13,0)</f>
        <v>616</v>
      </c>
      <c r="J16" s="4" t="str">
        <f>VLOOKUP(G16,[1]Meta文库质检结果汇总表!$E$1936:$O$3538,11,0)</f>
        <v>QSEP 100</v>
      </c>
    </row>
    <row r="17" spans="1:10" x14ac:dyDescent="0.15">
      <c r="A17" s="4" t="s">
        <v>41</v>
      </c>
      <c r="B17" s="13" t="s">
        <v>66</v>
      </c>
      <c r="C17" s="9" t="s">
        <v>25</v>
      </c>
      <c r="D17" s="8">
        <v>6.5000000000000002E-2</v>
      </c>
      <c r="E17" s="4" t="s">
        <v>18</v>
      </c>
      <c r="F17" s="4" t="s">
        <v>414</v>
      </c>
      <c r="G17" s="16" t="s">
        <v>252</v>
      </c>
      <c r="H17" s="8">
        <f>VLOOKUP(G17,[1]Meta文库质检结果汇总表!$E$2884:$R$3538,14,0)</f>
        <v>14.3964</v>
      </c>
      <c r="I17" s="18">
        <f>VLOOKUP(G17,[1]Meta文库质检结果汇总表!$E$2355:$Q$3538,13,0)</f>
        <v>594</v>
      </c>
      <c r="J17" s="4" t="str">
        <f>VLOOKUP(G17,[1]Meta文库质检结果汇总表!$E$1936:$O$3538,11,0)</f>
        <v>QSEP 100</v>
      </c>
    </row>
    <row r="18" spans="1:10" x14ac:dyDescent="0.15">
      <c r="A18" s="4" t="s">
        <v>41</v>
      </c>
      <c r="B18" s="13" t="s">
        <v>67</v>
      </c>
      <c r="C18" s="9" t="s">
        <v>25</v>
      </c>
      <c r="D18" s="8">
        <v>6.5000000000000002E-2</v>
      </c>
      <c r="E18" s="4" t="s">
        <v>19</v>
      </c>
      <c r="F18" s="4" t="s">
        <v>414</v>
      </c>
      <c r="G18" s="16" t="s">
        <v>253</v>
      </c>
      <c r="H18" s="8">
        <f>VLOOKUP(G18,[1]Meta文库质检结果汇总表!$E$2884:$R$3538,14,0)</f>
        <v>14.074</v>
      </c>
      <c r="I18" s="18">
        <f>VLOOKUP(G18,[1]Meta文库质检结果汇总表!$E$2355:$Q$3538,13,0)</f>
        <v>594</v>
      </c>
      <c r="J18" s="4" t="str">
        <f>VLOOKUP(G18,[1]Meta文库质检结果汇总表!$E$1936:$O$3538,11,0)</f>
        <v>QSEP 100</v>
      </c>
    </row>
    <row r="19" spans="1:10" x14ac:dyDescent="0.15">
      <c r="A19" s="4" t="s">
        <v>41</v>
      </c>
      <c r="B19" s="13" t="s">
        <v>68</v>
      </c>
      <c r="C19" s="9" t="s">
        <v>25</v>
      </c>
      <c r="D19" s="8">
        <v>6.5000000000000002E-2</v>
      </c>
      <c r="E19" s="4" t="s">
        <v>20</v>
      </c>
      <c r="F19" s="4" t="s">
        <v>414</v>
      </c>
      <c r="G19" s="16" t="s">
        <v>254</v>
      </c>
      <c r="H19" s="8">
        <f>VLOOKUP(G19,[1]Meta文库质检结果汇总表!$E$2884:$R$3538,14,0)</f>
        <v>18.103999999999999</v>
      </c>
      <c r="I19" s="18">
        <f>VLOOKUP(G19,[1]Meta文库质检结果汇总表!$E$2355:$Q$3538,13,0)</f>
        <v>583</v>
      </c>
      <c r="J19" s="4" t="str">
        <f>VLOOKUP(G19,[1]Meta文库质检结果汇总表!$E$1936:$O$3538,11,0)</f>
        <v>QSEP 100</v>
      </c>
    </row>
    <row r="20" spans="1:10" x14ac:dyDescent="0.15">
      <c r="A20" s="4" t="s">
        <v>41</v>
      </c>
      <c r="B20" s="13" t="s">
        <v>69</v>
      </c>
      <c r="C20" s="9" t="s">
        <v>25</v>
      </c>
      <c r="D20" s="8">
        <v>6.5000000000000002E-2</v>
      </c>
      <c r="E20" s="4" t="s">
        <v>21</v>
      </c>
      <c r="F20" s="4" t="s">
        <v>414</v>
      </c>
      <c r="G20" s="16" t="s">
        <v>255</v>
      </c>
      <c r="H20" s="8">
        <f>VLOOKUP(G20,[1]Meta文库质检结果汇总表!$E$2884:$R$3538,14,0)</f>
        <v>21.7</v>
      </c>
      <c r="I20" s="18">
        <f>VLOOKUP(G20,[1]Meta文库质检结果汇总表!$E$2355:$Q$3538,13,0)</f>
        <v>586</v>
      </c>
      <c r="J20" s="4" t="str">
        <f>VLOOKUP(G20,[1]Meta文库质检结果汇总表!$E$1936:$O$3538,11,0)</f>
        <v>QSEP 100</v>
      </c>
    </row>
    <row r="21" spans="1:10" x14ac:dyDescent="0.15">
      <c r="A21" s="4" t="s">
        <v>41</v>
      </c>
      <c r="B21" s="13" t="s">
        <v>70</v>
      </c>
      <c r="C21" s="9" t="s">
        <v>25</v>
      </c>
      <c r="D21" s="8">
        <v>6.5000000000000002E-2</v>
      </c>
      <c r="E21" s="4" t="s">
        <v>22</v>
      </c>
      <c r="F21" s="4" t="s">
        <v>414</v>
      </c>
      <c r="G21" s="16" t="s">
        <v>256</v>
      </c>
      <c r="H21" s="8">
        <f>VLOOKUP(G21,[1]Meta文库质检结果汇总表!$E$2884:$R$3538,14,0)</f>
        <v>20.980800000000002</v>
      </c>
      <c r="I21" s="18">
        <f>VLOOKUP(G21,[1]Meta文库质检结果汇总表!$E$2355:$Q$3538,13,0)</f>
        <v>615</v>
      </c>
      <c r="J21" s="4" t="str">
        <f>VLOOKUP(G21,[1]Meta文库质检结果汇总表!$E$1936:$O$3538,11,0)</f>
        <v>QSEP 100</v>
      </c>
    </row>
    <row r="22" spans="1:10" x14ac:dyDescent="0.15">
      <c r="A22" s="4" t="s">
        <v>41</v>
      </c>
      <c r="B22" s="13" t="s">
        <v>71</v>
      </c>
      <c r="C22" s="9" t="s">
        <v>25</v>
      </c>
      <c r="D22" s="8">
        <v>6.5000000000000002E-2</v>
      </c>
      <c r="E22" s="4" t="s">
        <v>23</v>
      </c>
      <c r="F22" s="4" t="s">
        <v>414</v>
      </c>
      <c r="G22" s="16" t="s">
        <v>257</v>
      </c>
      <c r="H22" s="8">
        <f>VLOOKUP(G22,[1]Meta文库质检结果汇总表!$E$2884:$R$3538,14,0)</f>
        <v>19.864799999999999</v>
      </c>
      <c r="I22" s="18">
        <f>VLOOKUP(G22,[1]Meta文库质检结果汇总表!$E$2355:$Q$3538,13,0)</f>
        <v>617</v>
      </c>
      <c r="J22" s="4" t="str">
        <f>VLOOKUP(G22,[1]Meta文库质检结果汇总表!$E$1936:$O$3538,11,0)</f>
        <v>QSEP 100</v>
      </c>
    </row>
    <row r="23" spans="1:10" x14ac:dyDescent="0.15">
      <c r="A23" s="4" t="s">
        <v>41</v>
      </c>
      <c r="B23" s="13" t="s">
        <v>72</v>
      </c>
      <c r="C23" s="9" t="s">
        <v>25</v>
      </c>
      <c r="D23" s="8">
        <v>6.5000000000000002E-2</v>
      </c>
      <c r="E23" s="4" t="s">
        <v>24</v>
      </c>
      <c r="F23" s="4" t="s">
        <v>415</v>
      </c>
      <c r="G23" s="16" t="s">
        <v>258</v>
      </c>
      <c r="H23" s="8">
        <f>VLOOKUP(G23,[1]Meta文库质检结果汇总表!$E$2884:$R$3538,14,0)</f>
        <v>18.0792</v>
      </c>
      <c r="I23" s="18">
        <f>VLOOKUP(G23,[1]Meta文库质检结果汇总表!$E$2355:$Q$3538,13,0)</f>
        <v>632</v>
      </c>
      <c r="J23" s="4" t="str">
        <f>VLOOKUP(G23,[1]Meta文库质检结果汇总表!$E$1936:$O$3538,11,0)</f>
        <v>QSEP 100</v>
      </c>
    </row>
    <row r="24" spans="1:10" x14ac:dyDescent="0.15">
      <c r="A24" s="4" t="s">
        <v>41</v>
      </c>
      <c r="B24" s="13" t="s">
        <v>73</v>
      </c>
      <c r="C24" s="9" t="s">
        <v>25</v>
      </c>
      <c r="D24" s="8">
        <v>6.5000000000000002E-2</v>
      </c>
      <c r="E24" s="4" t="s">
        <v>17</v>
      </c>
      <c r="F24" s="4" t="s">
        <v>415</v>
      </c>
      <c r="G24" s="16" t="s">
        <v>259</v>
      </c>
      <c r="H24" s="8">
        <f>VLOOKUP(G24,[1]Meta文库质检结果汇总表!$E$2884:$R$3538,14,0)</f>
        <v>20.075600000000001</v>
      </c>
      <c r="I24" s="18">
        <f>VLOOKUP(G24,[1]Meta文库质检结果汇总表!$E$2355:$Q$3538,13,0)</f>
        <v>622</v>
      </c>
      <c r="J24" s="4" t="str">
        <f>VLOOKUP(G24,[1]Meta文库质检结果汇总表!$E$1936:$O$3538,11,0)</f>
        <v>QSEP 100</v>
      </c>
    </row>
    <row r="25" spans="1:10" x14ac:dyDescent="0.15">
      <c r="A25" s="4" t="s">
        <v>41</v>
      </c>
      <c r="B25" s="13" t="s">
        <v>74</v>
      </c>
      <c r="C25" s="9" t="s">
        <v>25</v>
      </c>
      <c r="D25" s="8">
        <v>6.5000000000000002E-2</v>
      </c>
      <c r="E25" s="4" t="s">
        <v>18</v>
      </c>
      <c r="F25" s="4" t="s">
        <v>415</v>
      </c>
      <c r="G25" s="16" t="s">
        <v>260</v>
      </c>
      <c r="H25" s="8">
        <f>VLOOKUP(G25,[1]Meta文库质检结果汇总表!$E$2884:$R$3538,14,0)</f>
        <v>21.5884</v>
      </c>
      <c r="I25" s="18">
        <f>VLOOKUP(G25,[1]Meta文库质检结果汇总表!$E$2355:$Q$3538,13,0)</f>
        <v>605</v>
      </c>
      <c r="J25" s="4" t="str">
        <f>VLOOKUP(G25,[1]Meta文库质检结果汇总表!$E$1936:$O$3538,11,0)</f>
        <v>QSEP 100</v>
      </c>
    </row>
    <row r="26" spans="1:10" x14ac:dyDescent="0.15">
      <c r="A26" s="4" t="s">
        <v>41</v>
      </c>
      <c r="B26" s="13" t="s">
        <v>75</v>
      </c>
      <c r="C26" s="9" t="s">
        <v>25</v>
      </c>
      <c r="D26" s="8">
        <v>6.5000000000000002E-2</v>
      </c>
      <c r="E26" s="4" t="s">
        <v>19</v>
      </c>
      <c r="F26" s="4" t="s">
        <v>415</v>
      </c>
      <c r="G26" s="16" t="s">
        <v>261</v>
      </c>
      <c r="H26" s="8">
        <f>VLOOKUP(G26,[1]Meta文库质检结果汇总表!$E$2884:$R$3538,14,0)</f>
        <v>15.041200000000002</v>
      </c>
      <c r="I26" s="18">
        <f>VLOOKUP(G26,[1]Meta文库质检结果汇总表!$E$2355:$Q$3538,13,0)</f>
        <v>619</v>
      </c>
      <c r="J26" s="4" t="str">
        <f>VLOOKUP(G26,[1]Meta文库质检结果汇总表!$E$1936:$O$3538,11,0)</f>
        <v>QSEP 100</v>
      </c>
    </row>
    <row r="27" spans="1:10" x14ac:dyDescent="0.15">
      <c r="A27" s="4" t="s">
        <v>41</v>
      </c>
      <c r="B27" s="13" t="s">
        <v>76</v>
      </c>
      <c r="C27" s="9" t="s">
        <v>25</v>
      </c>
      <c r="D27" s="8">
        <v>6.5000000000000002E-2</v>
      </c>
      <c r="E27" s="4" t="s">
        <v>20</v>
      </c>
      <c r="F27" s="4" t="s">
        <v>415</v>
      </c>
      <c r="G27" s="16" t="s">
        <v>262</v>
      </c>
      <c r="H27" s="8">
        <f>VLOOKUP(G27,[1]Meta文库质检结果汇总表!$E$2884:$R$3538,14,0)</f>
        <v>20.807200000000002</v>
      </c>
      <c r="I27" s="18">
        <f>VLOOKUP(G27,[1]Meta文库质检结果汇总表!$E$2355:$Q$3538,13,0)</f>
        <v>609</v>
      </c>
      <c r="J27" s="4" t="str">
        <f>VLOOKUP(G27,[1]Meta文库质检结果汇总表!$E$1936:$O$3538,11,0)</f>
        <v>QSEP 100</v>
      </c>
    </row>
    <row r="28" spans="1:10" x14ac:dyDescent="0.15">
      <c r="A28" s="4" t="s">
        <v>41</v>
      </c>
      <c r="B28" s="13" t="s">
        <v>77</v>
      </c>
      <c r="C28" s="9" t="s">
        <v>25</v>
      </c>
      <c r="D28" s="8">
        <v>6.5000000000000002E-2</v>
      </c>
      <c r="E28" s="4" t="s">
        <v>21</v>
      </c>
      <c r="F28" s="4" t="s">
        <v>415</v>
      </c>
      <c r="G28" s="16" t="s">
        <v>263</v>
      </c>
      <c r="H28" s="8">
        <f>VLOOKUP(G28,[1]Meta文库质检结果汇总表!$E$2884:$R$3538,14,0)</f>
        <v>24.936399999999999</v>
      </c>
      <c r="I28" s="18">
        <f>VLOOKUP(G28,[1]Meta文库质检结果汇总表!$E$2355:$Q$3538,13,0)</f>
        <v>613</v>
      </c>
      <c r="J28" s="4" t="str">
        <f>VLOOKUP(G28,[1]Meta文库质检结果汇总表!$E$1936:$O$3538,11,0)</f>
        <v>QSEP 100</v>
      </c>
    </row>
    <row r="29" spans="1:10" x14ac:dyDescent="0.15">
      <c r="A29" s="4" t="s">
        <v>41</v>
      </c>
      <c r="B29" s="13" t="s">
        <v>78</v>
      </c>
      <c r="C29" s="9" t="s">
        <v>25</v>
      </c>
      <c r="D29" s="8">
        <v>6.5000000000000002E-2</v>
      </c>
      <c r="E29" s="4" t="s">
        <v>22</v>
      </c>
      <c r="F29" s="4" t="s">
        <v>415</v>
      </c>
      <c r="G29" s="16" t="s">
        <v>264</v>
      </c>
      <c r="H29" s="8">
        <f>VLOOKUP(G29,[1]Meta文库质检结果汇总表!$E$2884:$R$3538,14,0)</f>
        <v>28.470400000000001</v>
      </c>
      <c r="I29" s="18">
        <f>VLOOKUP(G29,[1]Meta文库质检结果汇总表!$E$2355:$Q$3538,13,0)</f>
        <v>605</v>
      </c>
      <c r="J29" s="4" t="str">
        <f>VLOOKUP(G29,[1]Meta文库质检结果汇总表!$E$1936:$O$3538,11,0)</f>
        <v>QSEP 100</v>
      </c>
    </row>
    <row r="30" spans="1:10" x14ac:dyDescent="0.15">
      <c r="A30" s="4" t="s">
        <v>41</v>
      </c>
      <c r="B30" s="13" t="s">
        <v>79</v>
      </c>
      <c r="C30" s="9" t="s">
        <v>25</v>
      </c>
      <c r="D30" s="8">
        <v>6.5000000000000002E-2</v>
      </c>
      <c r="E30" s="4" t="s">
        <v>23</v>
      </c>
      <c r="F30" s="4" t="s">
        <v>415</v>
      </c>
      <c r="G30" s="16" t="s">
        <v>265</v>
      </c>
      <c r="H30" s="8">
        <f>VLOOKUP(G30,[1]Meta文库质检结果汇总表!$E$2884:$R$3538,14,0)</f>
        <v>22.307599999999997</v>
      </c>
      <c r="I30" s="18">
        <f>VLOOKUP(G30,[1]Meta文库质检结果汇总表!$E$2355:$Q$3538,13,0)</f>
        <v>617</v>
      </c>
      <c r="J30" s="4" t="str">
        <f>VLOOKUP(G30,[1]Meta文库质检结果汇总表!$E$1936:$O$3538,11,0)</f>
        <v>QSEP 100</v>
      </c>
    </row>
    <row r="31" spans="1:10" x14ac:dyDescent="0.15">
      <c r="A31" s="4" t="s">
        <v>41</v>
      </c>
      <c r="B31" s="13" t="s">
        <v>80</v>
      </c>
      <c r="C31" s="9" t="s">
        <v>25</v>
      </c>
      <c r="D31" s="8">
        <v>6.5000000000000002E-2</v>
      </c>
      <c r="E31" s="4" t="s">
        <v>9</v>
      </c>
      <c r="F31" s="4" t="s">
        <v>416</v>
      </c>
      <c r="G31" s="16" t="s">
        <v>266</v>
      </c>
      <c r="H31" s="8">
        <f>VLOOKUP(G31,[1]Meta文库质检结果汇总表!$E$2884:$R$3538,14,0)</f>
        <v>11.7676</v>
      </c>
      <c r="I31" s="18">
        <f>VLOOKUP(G31,[1]Meta文库质检结果汇总表!$E$2355:$Q$3538,13,0)</f>
        <v>638</v>
      </c>
      <c r="J31" s="4" t="str">
        <f>VLOOKUP(G31,[1]Meta文库质检结果汇总表!$E$1936:$O$3538,11,0)</f>
        <v>QSEP 100</v>
      </c>
    </row>
    <row r="32" spans="1:10" x14ac:dyDescent="0.15">
      <c r="A32" s="4" t="s">
        <v>41</v>
      </c>
      <c r="B32" s="13" t="s">
        <v>81</v>
      </c>
      <c r="C32" s="9" t="s">
        <v>25</v>
      </c>
      <c r="D32" s="8">
        <v>6.5000000000000002E-2</v>
      </c>
      <c r="E32" s="4" t="s">
        <v>9</v>
      </c>
      <c r="F32" s="4" t="s">
        <v>417</v>
      </c>
      <c r="G32" s="16" t="s">
        <v>267</v>
      </c>
      <c r="H32" s="8">
        <f>VLOOKUP(G32,[1]Meta文库质检结果汇总表!$E$2884:$R$3538,14,0)</f>
        <v>11.556800000000001</v>
      </c>
      <c r="I32" s="18">
        <f>VLOOKUP(G32,[1]Meta文库质检结果汇总表!$E$2355:$Q$3538,13,0)</f>
        <v>635</v>
      </c>
      <c r="J32" s="4" t="str">
        <f>VLOOKUP(G32,[1]Meta文库质检结果汇总表!$E$1936:$O$3538,11,0)</f>
        <v>QSEP 100</v>
      </c>
    </row>
    <row r="33" spans="1:10" x14ac:dyDescent="0.15">
      <c r="A33" s="4" t="s">
        <v>41</v>
      </c>
      <c r="B33" s="13" t="s">
        <v>82</v>
      </c>
      <c r="C33" s="9" t="s">
        <v>25</v>
      </c>
      <c r="D33" s="8">
        <v>6.5000000000000002E-2</v>
      </c>
      <c r="E33" s="4" t="s">
        <v>9</v>
      </c>
      <c r="F33" s="4" t="s">
        <v>418</v>
      </c>
      <c r="G33" s="16" t="s">
        <v>268</v>
      </c>
      <c r="H33" s="8">
        <f>VLOOKUP(G33,[1]Meta文库质检结果汇总表!$E$2884:$R$3538,14,0)</f>
        <v>5.0979736064075576</v>
      </c>
      <c r="I33" s="18">
        <f>VLOOKUP(G33,[1]Meta文库质检结果汇总表!$E$2355:$Q$3538,13,0)</f>
        <v>643</v>
      </c>
      <c r="J33" s="4" t="str">
        <f>VLOOKUP(G33,[1]Meta文库质检结果汇总表!$E$1936:$O$3538,11,0)</f>
        <v>QSEP 100</v>
      </c>
    </row>
    <row r="34" spans="1:10" x14ac:dyDescent="0.15">
      <c r="A34" s="4" t="s">
        <v>41</v>
      </c>
      <c r="B34" s="13" t="s">
        <v>83</v>
      </c>
      <c r="C34" s="9" t="s">
        <v>25</v>
      </c>
      <c r="D34" s="8">
        <v>6.5000000000000002E-2</v>
      </c>
      <c r="E34" s="4" t="s">
        <v>9</v>
      </c>
      <c r="F34" s="4" t="s">
        <v>419</v>
      </c>
      <c r="G34" s="16" t="s">
        <v>269</v>
      </c>
      <c r="H34" s="8">
        <f>VLOOKUP(G34,[1]Meta文库质检结果汇总表!$E$2884:$R$3538,14,0)</f>
        <v>11.048400000000001</v>
      </c>
      <c r="I34" s="18">
        <f>VLOOKUP(G34,[1]Meta文库质检结果汇总表!$E$2355:$Q$3538,13,0)</f>
        <v>631</v>
      </c>
      <c r="J34" s="4" t="str">
        <f>VLOOKUP(G34,[1]Meta文库质检结果汇总表!$E$1936:$O$3538,11,0)</f>
        <v>QSEP 100</v>
      </c>
    </row>
    <row r="35" spans="1:10" x14ac:dyDescent="0.15">
      <c r="A35" s="4" t="s">
        <v>41</v>
      </c>
      <c r="B35" s="13" t="s">
        <v>84</v>
      </c>
      <c r="C35" s="9" t="s">
        <v>25</v>
      </c>
      <c r="D35" s="8">
        <v>6.5000000000000002E-2</v>
      </c>
      <c r="E35" s="4" t="s">
        <v>9</v>
      </c>
      <c r="F35" s="4" t="s">
        <v>420</v>
      </c>
      <c r="G35" s="16" t="s">
        <v>270</v>
      </c>
      <c r="H35" s="8">
        <f>VLOOKUP(G35,[1]Meta文库质检结果汇总表!$E$2884:$R$3538,14,0)</f>
        <v>13.577999999999999</v>
      </c>
      <c r="I35" s="18">
        <f>VLOOKUP(G35,[1]Meta文库质检结果汇总表!$E$2355:$Q$3538,13,0)</f>
        <v>615</v>
      </c>
      <c r="J35" s="4" t="str">
        <f>VLOOKUP(G35,[1]Meta文库质检结果汇总表!$E$1936:$O$3538,11,0)</f>
        <v>QSEP 100</v>
      </c>
    </row>
    <row r="36" spans="1:10" x14ac:dyDescent="0.15">
      <c r="A36" s="4" t="s">
        <v>41</v>
      </c>
      <c r="B36" s="13" t="s">
        <v>85</v>
      </c>
      <c r="C36" s="9" t="s">
        <v>25</v>
      </c>
      <c r="D36" s="8">
        <v>6.5000000000000002E-2</v>
      </c>
      <c r="E36" s="4" t="s">
        <v>9</v>
      </c>
      <c r="F36" s="4" t="s">
        <v>421</v>
      </c>
      <c r="G36" s="16" t="s">
        <v>271</v>
      </c>
      <c r="H36" s="8">
        <f>VLOOKUP(G36,[1]Meta文库质检结果汇总表!$E$2884:$R$3538,14,0)</f>
        <v>10.1556</v>
      </c>
      <c r="I36" s="18">
        <f>VLOOKUP(G36,[1]Meta文库质检结果汇总表!$E$2355:$Q$3538,13,0)</f>
        <v>640</v>
      </c>
      <c r="J36" s="4" t="str">
        <f>VLOOKUP(G36,[1]Meta文库质检结果汇总表!$E$1936:$O$3538,11,0)</f>
        <v>QSEP 100</v>
      </c>
    </row>
    <row r="37" spans="1:10" x14ac:dyDescent="0.15">
      <c r="A37" s="4" t="s">
        <v>41</v>
      </c>
      <c r="B37" s="13" t="s">
        <v>86</v>
      </c>
      <c r="C37" s="9" t="s">
        <v>25</v>
      </c>
      <c r="D37" s="8">
        <v>6.5000000000000002E-2</v>
      </c>
      <c r="E37" s="4" t="s">
        <v>9</v>
      </c>
      <c r="F37" s="4" t="s">
        <v>422</v>
      </c>
      <c r="G37" s="16" t="s">
        <v>272</v>
      </c>
      <c r="H37" s="8">
        <f>VLOOKUP(G37,[1]Meta文库质检结果汇总表!$E$2884:$R$3538,14,0)</f>
        <v>15.3636</v>
      </c>
      <c r="I37" s="18">
        <f>VLOOKUP(G37,[1]Meta文库质检结果汇总表!$E$2355:$Q$3538,13,0)</f>
        <v>603</v>
      </c>
      <c r="J37" s="4" t="str">
        <f>VLOOKUP(G37,[1]Meta文库质检结果汇总表!$E$1936:$O$3538,11,0)</f>
        <v>QSEP 100</v>
      </c>
    </row>
    <row r="38" spans="1:10" x14ac:dyDescent="0.15">
      <c r="A38" s="4" t="s">
        <v>41</v>
      </c>
      <c r="B38" s="13" t="s">
        <v>87</v>
      </c>
      <c r="C38" s="9" t="s">
        <v>25</v>
      </c>
      <c r="D38" s="8">
        <v>6.5000000000000002E-2</v>
      </c>
      <c r="E38" s="4" t="s">
        <v>9</v>
      </c>
      <c r="F38" s="4" t="s">
        <v>423</v>
      </c>
      <c r="G38" s="16" t="s">
        <v>273</v>
      </c>
      <c r="H38" s="8">
        <f>VLOOKUP(G38,[1]Meta文库质检结果汇总表!$E$2884:$R$3538,14,0)</f>
        <v>13.305200000000001</v>
      </c>
      <c r="I38" s="18">
        <f>VLOOKUP(G38,[1]Meta文库质检结果汇总表!$E$2355:$Q$3538,13,0)</f>
        <v>623</v>
      </c>
      <c r="J38" s="4" t="str">
        <f>VLOOKUP(G38,[1]Meta文库质检结果汇总表!$E$1936:$O$3538,11,0)</f>
        <v>QSEP 100</v>
      </c>
    </row>
    <row r="39" spans="1:10" x14ac:dyDescent="0.15">
      <c r="A39" s="4" t="s">
        <v>41</v>
      </c>
      <c r="B39" s="13" t="s">
        <v>88</v>
      </c>
      <c r="C39" s="9" t="s">
        <v>25</v>
      </c>
      <c r="D39" s="8">
        <v>6.5000000000000002E-2</v>
      </c>
      <c r="E39" s="4" t="s">
        <v>10</v>
      </c>
      <c r="F39" s="4" t="s">
        <v>416</v>
      </c>
      <c r="G39" s="16" t="s">
        <v>274</v>
      </c>
      <c r="H39" s="8">
        <f>VLOOKUP(G39,[1]Meta文库质检结果汇总表!$E$2884:$R$3538,14,0)</f>
        <v>16.6904</v>
      </c>
      <c r="I39" s="18">
        <f>VLOOKUP(G39,[1]Meta文库质检结果汇总表!$E$2355:$Q$3538,13,0)</f>
        <v>611</v>
      </c>
      <c r="J39" s="4" t="str">
        <f>VLOOKUP(G39,[1]Meta文库质检结果汇总表!$E$1936:$O$3538,11,0)</f>
        <v>QSEP 100</v>
      </c>
    </row>
    <row r="40" spans="1:10" x14ac:dyDescent="0.15">
      <c r="A40" s="4" t="s">
        <v>41</v>
      </c>
      <c r="B40" s="13" t="s">
        <v>89</v>
      </c>
      <c r="C40" s="9" t="s">
        <v>25</v>
      </c>
      <c r="D40" s="8">
        <v>6.5000000000000002E-2</v>
      </c>
      <c r="E40" s="4" t="s">
        <v>10</v>
      </c>
      <c r="F40" s="4" t="s">
        <v>417</v>
      </c>
      <c r="G40" s="16" t="s">
        <v>275</v>
      </c>
      <c r="H40" s="8">
        <f>VLOOKUP(G40,[1]Meta文库质检结果汇总表!$E$2884:$R$3538,14,0)</f>
        <v>12.065200000000001</v>
      </c>
      <c r="I40" s="18">
        <f>VLOOKUP(G40,[1]Meta文库质检结果汇总表!$E$2355:$Q$3538,13,0)</f>
        <v>623</v>
      </c>
      <c r="J40" s="4" t="str">
        <f>VLOOKUP(G40,[1]Meta文库质检结果汇总表!$E$1936:$O$3538,11,0)</f>
        <v>QSEP 100</v>
      </c>
    </row>
    <row r="41" spans="1:10" x14ac:dyDescent="0.15">
      <c r="A41" s="4" t="s">
        <v>41</v>
      </c>
      <c r="B41" s="13" t="s">
        <v>90</v>
      </c>
      <c r="C41" s="9" t="s">
        <v>25</v>
      </c>
      <c r="D41" s="8">
        <v>6.5000000000000002E-2</v>
      </c>
      <c r="E41" s="4" t="s">
        <v>10</v>
      </c>
      <c r="F41" s="4" t="s">
        <v>418</v>
      </c>
      <c r="G41" s="16" t="s">
        <v>276</v>
      </c>
      <c r="H41" s="8">
        <f>VLOOKUP(G41,[1]Meta文库质检结果汇总表!$E$2884:$R$3538,14,0)</f>
        <v>14.8056</v>
      </c>
      <c r="I41" s="18">
        <f>VLOOKUP(G41,[1]Meta文库质检结果汇总表!$E$2355:$Q$3538,13,0)</f>
        <v>611</v>
      </c>
      <c r="J41" s="4" t="str">
        <f>VLOOKUP(G41,[1]Meta文库质检结果汇总表!$E$1936:$O$3538,11,0)</f>
        <v>QSEP 100</v>
      </c>
    </row>
    <row r="42" spans="1:10" x14ac:dyDescent="0.15">
      <c r="A42" s="4" t="s">
        <v>41</v>
      </c>
      <c r="B42" s="13" t="s">
        <v>91</v>
      </c>
      <c r="C42" s="9" t="s">
        <v>25</v>
      </c>
      <c r="D42" s="8">
        <v>6.5000000000000002E-2</v>
      </c>
      <c r="E42" s="4" t="s">
        <v>10</v>
      </c>
      <c r="F42" s="4" t="s">
        <v>419</v>
      </c>
      <c r="G42" s="16" t="s">
        <v>277</v>
      </c>
      <c r="H42" s="8">
        <f>VLOOKUP(G42,[1]Meta文库质检结果汇总表!$E$2884:$R$3538,14,0)</f>
        <v>17.211200000000002</v>
      </c>
      <c r="I42" s="18">
        <f>VLOOKUP(G42,[1]Meta文库质检结果汇总表!$E$2355:$Q$3538,13,0)</f>
        <v>612</v>
      </c>
      <c r="J42" s="4" t="str">
        <f>VLOOKUP(G42,[1]Meta文库质检结果汇总表!$E$1936:$O$3538,11,0)</f>
        <v>QSEP 100</v>
      </c>
    </row>
    <row r="43" spans="1:10" x14ac:dyDescent="0.15">
      <c r="A43" s="4" t="s">
        <v>41</v>
      </c>
      <c r="B43" s="13" t="s">
        <v>92</v>
      </c>
      <c r="C43" s="9" t="s">
        <v>25</v>
      </c>
      <c r="D43" s="8">
        <v>6.5000000000000002E-2</v>
      </c>
      <c r="E43" s="4" t="s">
        <v>10</v>
      </c>
      <c r="F43" s="4" t="s">
        <v>420</v>
      </c>
      <c r="G43" s="16" t="s">
        <v>278</v>
      </c>
      <c r="H43" s="8">
        <f>VLOOKUP(G43,[1]Meta文库质检结果汇总表!$E$2884:$R$3538,14,0)</f>
        <v>15.6488</v>
      </c>
      <c r="I43" s="18">
        <f>VLOOKUP(G43,[1]Meta文库质检结果汇总表!$E$2355:$Q$3538,13,0)</f>
        <v>610</v>
      </c>
      <c r="J43" s="4" t="str">
        <f>VLOOKUP(G43,[1]Meta文库质检结果汇总表!$E$1936:$O$3538,11,0)</f>
        <v>QSEP 100</v>
      </c>
    </row>
    <row r="44" spans="1:10" x14ac:dyDescent="0.15">
      <c r="A44" s="4" t="s">
        <v>41</v>
      </c>
      <c r="B44" s="13" t="s">
        <v>93</v>
      </c>
      <c r="C44" s="9" t="s">
        <v>25</v>
      </c>
      <c r="D44" s="8">
        <v>6.5000000000000002E-2</v>
      </c>
      <c r="E44" s="4" t="s">
        <v>10</v>
      </c>
      <c r="F44" s="4" t="s">
        <v>421</v>
      </c>
      <c r="G44" s="16" t="s">
        <v>279</v>
      </c>
      <c r="H44" s="8">
        <f>VLOOKUP(G44,[1]Meta文库质检结果汇总表!$E$2884:$R$3538,14,0)</f>
        <v>14.136000000000001</v>
      </c>
      <c r="I44" s="18">
        <f>VLOOKUP(G44,[1]Meta文库质检结果汇总表!$E$2355:$Q$3538,13,0)</f>
        <v>635</v>
      </c>
      <c r="J44" s="4" t="str">
        <f>VLOOKUP(G44,[1]Meta文库质检结果汇总表!$E$1936:$O$3538,11,0)</f>
        <v>QSEP 100</v>
      </c>
    </row>
    <row r="45" spans="1:10" x14ac:dyDescent="0.15">
      <c r="A45" s="4" t="s">
        <v>41</v>
      </c>
      <c r="B45" s="13" t="s">
        <v>94</v>
      </c>
      <c r="C45" s="9" t="s">
        <v>25</v>
      </c>
      <c r="D45" s="8">
        <v>6.5000000000000002E-2</v>
      </c>
      <c r="E45" s="4" t="s">
        <v>10</v>
      </c>
      <c r="F45" s="4" t="s">
        <v>422</v>
      </c>
      <c r="G45" s="16" t="s">
        <v>280</v>
      </c>
      <c r="H45" s="8">
        <f>VLOOKUP(G45,[1]Meta文库质检结果汇总表!$E$2884:$R$3538,14,0)</f>
        <v>25.395199999999999</v>
      </c>
      <c r="I45" s="18">
        <f>VLOOKUP(G45,[1]Meta文库质检结果汇总表!$E$2355:$Q$3538,13,0)</f>
        <v>600</v>
      </c>
      <c r="J45" s="4" t="str">
        <f>VLOOKUP(G45,[1]Meta文库质检结果汇总表!$E$1936:$O$3538,11,0)</f>
        <v>QSEP 100</v>
      </c>
    </row>
    <row r="46" spans="1:10" x14ac:dyDescent="0.15">
      <c r="A46" s="4" t="s">
        <v>41</v>
      </c>
      <c r="B46" s="13" t="s">
        <v>95</v>
      </c>
      <c r="C46" s="9" t="s">
        <v>25</v>
      </c>
      <c r="D46" s="8">
        <v>6.5000000000000002E-2</v>
      </c>
      <c r="E46" s="4" t="s">
        <v>10</v>
      </c>
      <c r="F46" s="4" t="s">
        <v>423</v>
      </c>
      <c r="G46" s="16" t="s">
        <v>281</v>
      </c>
      <c r="H46" s="8">
        <f>VLOOKUP(G46,[1]Meta文库质检结果汇总表!$E$2884:$R$3538,14,0)</f>
        <v>20.1252</v>
      </c>
      <c r="I46" s="18">
        <f>VLOOKUP(G46,[1]Meta文库质检结果汇总表!$E$2355:$Q$3538,13,0)</f>
        <v>625</v>
      </c>
      <c r="J46" s="4" t="str">
        <f>VLOOKUP(G46,[1]Meta文库质检结果汇总表!$E$1936:$O$3538,11,0)</f>
        <v>QSEP 100</v>
      </c>
    </row>
    <row r="47" spans="1:10" x14ac:dyDescent="0.15">
      <c r="A47" s="4" t="s">
        <v>41</v>
      </c>
      <c r="B47" s="13" t="s">
        <v>96</v>
      </c>
      <c r="C47" s="9" t="s">
        <v>25</v>
      </c>
      <c r="D47" s="8">
        <v>6.5000000000000002E-2</v>
      </c>
      <c r="E47" s="4" t="s">
        <v>11</v>
      </c>
      <c r="F47" s="4" t="s">
        <v>416</v>
      </c>
      <c r="G47" s="16" t="s">
        <v>282</v>
      </c>
      <c r="H47" s="8">
        <f>VLOOKUP(G47,[1]Meta文库质检结果汇总表!$E$2884:$R$3538,14,0)</f>
        <v>27.453600000000002</v>
      </c>
      <c r="I47" s="18">
        <f>VLOOKUP(G47,[1]Meta文库质检结果汇总表!$E$2355:$Q$3538,13,0)</f>
        <v>601</v>
      </c>
      <c r="J47" s="4" t="str">
        <f>VLOOKUP(G47,[1]Meta文库质检结果汇总表!$E$1936:$O$3538,11,0)</f>
        <v>QSEP 100</v>
      </c>
    </row>
    <row r="48" spans="1:10" x14ac:dyDescent="0.15">
      <c r="A48" s="4" t="s">
        <v>41</v>
      </c>
      <c r="B48" s="13" t="s">
        <v>97</v>
      </c>
      <c r="C48" s="9" t="s">
        <v>25</v>
      </c>
      <c r="D48" s="8">
        <v>6.5000000000000002E-2</v>
      </c>
      <c r="E48" s="4" t="s">
        <v>11</v>
      </c>
      <c r="F48" s="4" t="s">
        <v>417</v>
      </c>
      <c r="G48" s="16" t="s">
        <v>283</v>
      </c>
      <c r="H48" s="8">
        <f>VLOOKUP(G48,[1]Meta文库质检结果汇总表!$E$2884:$R$3538,14,0)</f>
        <v>19.852400000000003</v>
      </c>
      <c r="I48" s="18">
        <f>VLOOKUP(G48,[1]Meta文库质检结果汇总表!$E$2355:$Q$3538,13,0)</f>
        <v>616</v>
      </c>
      <c r="J48" s="4" t="str">
        <f>VLOOKUP(G48,[1]Meta文库质检结果汇总表!$E$1936:$O$3538,11,0)</f>
        <v>QSEP 100</v>
      </c>
    </row>
    <row r="49" spans="1:10" x14ac:dyDescent="0.15">
      <c r="A49" s="4" t="s">
        <v>41</v>
      </c>
      <c r="B49" s="13" t="s">
        <v>98</v>
      </c>
      <c r="C49" s="9" t="s">
        <v>25</v>
      </c>
      <c r="D49" s="8">
        <v>6.5000000000000002E-2</v>
      </c>
      <c r="E49" s="4" t="s">
        <v>11</v>
      </c>
      <c r="F49" s="4" t="s">
        <v>418</v>
      </c>
      <c r="G49" s="16" t="s">
        <v>284</v>
      </c>
      <c r="H49" s="8">
        <f>VLOOKUP(G49,[1]Meta文库质检结果汇总表!$E$2884:$R$3538,14,0)</f>
        <v>22.096800000000002</v>
      </c>
      <c r="I49" s="18">
        <f>VLOOKUP(G49,[1]Meta文库质检结果汇总表!$E$2355:$Q$3538,13,0)</f>
        <v>586</v>
      </c>
      <c r="J49" s="4" t="str">
        <f>VLOOKUP(G49,[1]Meta文库质检结果汇总表!$E$1936:$O$3538,11,0)</f>
        <v>QSEP 100</v>
      </c>
    </row>
    <row r="50" spans="1:10" x14ac:dyDescent="0.15">
      <c r="A50" s="4" t="s">
        <v>41</v>
      </c>
      <c r="B50" s="13" t="s">
        <v>99</v>
      </c>
      <c r="C50" s="9" t="s">
        <v>25</v>
      </c>
      <c r="D50" s="8">
        <v>6.5000000000000002E-2</v>
      </c>
      <c r="E50" s="4" t="s">
        <v>11</v>
      </c>
      <c r="F50" s="4" t="s">
        <v>419</v>
      </c>
      <c r="G50" s="16" t="s">
        <v>285</v>
      </c>
      <c r="H50" s="8">
        <f>VLOOKUP(G50,[1]Meta文库质检结果汇总表!$E$2884:$R$3538,14,0)</f>
        <v>22.332400000000003</v>
      </c>
      <c r="I50" s="18">
        <f>VLOOKUP(G50,[1]Meta文库质检结果汇总表!$E$2355:$Q$3538,13,0)</f>
        <v>603</v>
      </c>
      <c r="J50" s="4" t="str">
        <f>VLOOKUP(G50,[1]Meta文库质检结果汇总表!$E$1936:$O$3538,11,0)</f>
        <v>QSEP 100</v>
      </c>
    </row>
    <row r="51" spans="1:10" x14ac:dyDescent="0.15">
      <c r="A51" s="4" t="s">
        <v>41</v>
      </c>
      <c r="B51" s="13" t="s">
        <v>100</v>
      </c>
      <c r="C51" s="9" t="s">
        <v>25</v>
      </c>
      <c r="D51" s="8">
        <v>6.5000000000000002E-2</v>
      </c>
      <c r="E51" s="4" t="s">
        <v>11</v>
      </c>
      <c r="F51" s="4" t="s">
        <v>420</v>
      </c>
      <c r="G51" s="16" t="s">
        <v>286</v>
      </c>
      <c r="H51" s="8">
        <f>VLOOKUP(G51,[1]Meta文库质检结果汇总表!$E$2884:$R$3538,14,0)</f>
        <v>20.844399999999997</v>
      </c>
      <c r="I51" s="18">
        <f>VLOOKUP(G51,[1]Meta文库质检结果汇总表!$E$2355:$Q$3538,13,0)</f>
        <v>592</v>
      </c>
      <c r="J51" s="4" t="str">
        <f>VLOOKUP(G51,[1]Meta文库质检结果汇总表!$E$1936:$O$3538,11,0)</f>
        <v>QSEP 100</v>
      </c>
    </row>
    <row r="52" spans="1:10" x14ac:dyDescent="0.15">
      <c r="A52" s="4" t="s">
        <v>41</v>
      </c>
      <c r="B52" s="13" t="s">
        <v>101</v>
      </c>
      <c r="C52" s="9" t="s">
        <v>25</v>
      </c>
      <c r="D52" s="8">
        <v>6.5000000000000002E-2</v>
      </c>
      <c r="E52" s="4" t="s">
        <v>11</v>
      </c>
      <c r="F52" s="4" t="s">
        <v>421</v>
      </c>
      <c r="G52" s="16" t="s">
        <v>287</v>
      </c>
      <c r="H52" s="8">
        <f>VLOOKUP(G52,[1]Meta文库质检结果汇总表!$E$2884:$R$3538,14,0)</f>
        <v>21.824000000000002</v>
      </c>
      <c r="I52" s="18">
        <f>VLOOKUP(G52,[1]Meta文库质检结果汇总表!$E$2355:$Q$3538,13,0)</f>
        <v>605</v>
      </c>
      <c r="J52" s="4" t="str">
        <f>VLOOKUP(G52,[1]Meta文库质检结果汇总表!$E$1936:$O$3538,11,0)</f>
        <v>QSEP 100</v>
      </c>
    </row>
    <row r="53" spans="1:10" s="19" customFormat="1" x14ac:dyDescent="0.15">
      <c r="A53" s="19" t="s">
        <v>41</v>
      </c>
      <c r="B53" s="20" t="s">
        <v>102</v>
      </c>
      <c r="C53" s="23" t="s">
        <v>25</v>
      </c>
      <c r="D53" s="22">
        <v>6.5000000000000002E-2</v>
      </c>
      <c r="E53" s="19" t="s">
        <v>11</v>
      </c>
      <c r="F53" s="19" t="s">
        <v>422</v>
      </c>
      <c r="G53" s="21" t="s">
        <v>288</v>
      </c>
      <c r="H53" s="22">
        <f>VLOOKUP(G53,[1]Meta文库质检结果汇总表!$E$2884:$R$3538,14,0)</f>
        <v>21.749599999999997</v>
      </c>
      <c r="I53" s="24">
        <f>VLOOKUP(G53,[1]Meta文库质检结果汇总表!$E$2355:$Q$3538,13,0)</f>
        <v>618</v>
      </c>
      <c r="J53" s="4" t="str">
        <f>VLOOKUP(G53,[1]Meta文库质检结果汇总表!$E$1936:$O$3538,11,0)</f>
        <v>QSEP 100</v>
      </c>
    </row>
    <row r="54" spans="1:10" x14ac:dyDescent="0.15">
      <c r="A54" s="4" t="s">
        <v>41</v>
      </c>
      <c r="B54" s="13" t="s">
        <v>103</v>
      </c>
      <c r="C54" s="9" t="s">
        <v>25</v>
      </c>
      <c r="D54" s="8">
        <v>6.5000000000000002E-2</v>
      </c>
      <c r="E54" s="4" t="s">
        <v>11</v>
      </c>
      <c r="F54" s="4" t="s">
        <v>423</v>
      </c>
      <c r="G54" s="16" t="s">
        <v>289</v>
      </c>
      <c r="H54" s="8">
        <f>VLOOKUP(G54,[1]Meta文库质检结果汇总表!$E$2884:$R$3538,14,0)</f>
        <v>23.733599999999999</v>
      </c>
      <c r="I54" s="18">
        <f>VLOOKUP(G54,[1]Meta文库质检结果汇总表!$E$2355:$Q$3538,13,0)</f>
        <v>601</v>
      </c>
      <c r="J54" s="4" t="str">
        <f>VLOOKUP(G54,[1]Meta文库质检结果汇总表!$E$1936:$O$3538,11,0)</f>
        <v>QSEP 100</v>
      </c>
    </row>
    <row r="55" spans="1:10" x14ac:dyDescent="0.15">
      <c r="A55" s="4" t="s">
        <v>41</v>
      </c>
      <c r="B55" s="13" t="s">
        <v>104</v>
      </c>
      <c r="C55" s="9" t="s">
        <v>25</v>
      </c>
      <c r="D55" s="8">
        <v>6.5000000000000002E-2</v>
      </c>
      <c r="E55" s="4" t="s">
        <v>22</v>
      </c>
      <c r="F55" s="4" t="s">
        <v>424</v>
      </c>
      <c r="G55" s="16" t="s">
        <v>290</v>
      </c>
      <c r="H55" s="8">
        <f>VLOOKUP(G55,[1]Meta文库质检结果汇总表!$E$2884:$R$3538,14,0)</f>
        <v>16.256399999999999</v>
      </c>
      <c r="I55" s="18">
        <f>VLOOKUP(G55,[1]Meta文库质检结果汇总表!$E$2355:$Q$3538,13,0)</f>
        <v>630</v>
      </c>
      <c r="J55" s="4" t="str">
        <f>VLOOKUP(G55,[1]Meta文库质检结果汇总表!$E$1936:$O$3538,11,0)</f>
        <v>QSEP 100</v>
      </c>
    </row>
    <row r="56" spans="1:10" x14ac:dyDescent="0.15">
      <c r="A56" s="4" t="s">
        <v>41</v>
      </c>
      <c r="B56" s="13" t="s">
        <v>105</v>
      </c>
      <c r="C56" s="9" t="s">
        <v>25</v>
      </c>
      <c r="D56" s="8">
        <v>6.5000000000000002E-2</v>
      </c>
      <c r="E56" s="4" t="s">
        <v>23</v>
      </c>
      <c r="F56" s="4" t="s">
        <v>424</v>
      </c>
      <c r="G56" s="16" t="s">
        <v>291</v>
      </c>
      <c r="H56" s="8">
        <f>VLOOKUP(G56,[1]Meta文库质检结果汇总表!$E$2884:$R$3538,14,0)</f>
        <v>19.133199999999999</v>
      </c>
      <c r="I56" s="18">
        <f>VLOOKUP(G56,[1]Meta文库质检结果汇总表!$E$2355:$Q$3538,13,0)</f>
        <v>620</v>
      </c>
      <c r="J56" s="4" t="str">
        <f>VLOOKUP(G56,[1]Meta文库质检结果汇总表!$E$1936:$O$3538,11,0)</f>
        <v>QSEP 100</v>
      </c>
    </row>
    <row r="57" spans="1:10" x14ac:dyDescent="0.15">
      <c r="A57" s="4" t="s">
        <v>41</v>
      </c>
      <c r="B57" s="13" t="s">
        <v>106</v>
      </c>
      <c r="C57" s="9" t="s">
        <v>25</v>
      </c>
      <c r="D57" s="8">
        <v>6.5000000000000002E-2</v>
      </c>
      <c r="E57" s="4" t="s">
        <v>33</v>
      </c>
      <c r="F57" s="4" t="s">
        <v>414</v>
      </c>
      <c r="G57" s="16" t="s">
        <v>292</v>
      </c>
      <c r="H57" s="8">
        <f>VLOOKUP(G57,[1]Meta文库质检结果汇总表!$E$2884:$R$3538,14,0)</f>
        <v>25.432400000000001</v>
      </c>
      <c r="I57" s="18">
        <f>VLOOKUP(G57,[1]Meta文库质检结果汇总表!$E$2355:$Q$3538,13,0)</f>
        <v>601</v>
      </c>
      <c r="J57" s="4" t="str">
        <f>VLOOKUP(G57,[1]Meta文库质检结果汇总表!$E$1936:$O$3538,11,0)</f>
        <v>QSEP 100</v>
      </c>
    </row>
    <row r="58" spans="1:10" x14ac:dyDescent="0.15">
      <c r="A58" s="4" t="s">
        <v>42</v>
      </c>
      <c r="B58" s="13" t="s">
        <v>107</v>
      </c>
      <c r="C58" s="9" t="s">
        <v>221</v>
      </c>
      <c r="D58" s="8">
        <v>0.05</v>
      </c>
      <c r="E58" s="4" t="s">
        <v>35</v>
      </c>
      <c r="F58" s="4" t="s">
        <v>425</v>
      </c>
      <c r="G58" s="16" t="s">
        <v>293</v>
      </c>
      <c r="H58" s="8">
        <f>VLOOKUP(G58,[1]Meta文库质检结果汇总表!$E$2884:$R$3538,14,0)</f>
        <v>37.767600000000002</v>
      </c>
      <c r="I58" s="18">
        <f>VLOOKUP(G58,[1]Meta文库质检结果汇总表!$E$2355:$Q$3538,13,0)</f>
        <v>501</v>
      </c>
      <c r="J58" s="4" t="str">
        <f>VLOOKUP(G58,[1]Meta文库质检结果汇总表!$E$1936:$O$3538,11,0)</f>
        <v>QSEP 100</v>
      </c>
    </row>
    <row r="59" spans="1:10" x14ac:dyDescent="0.15">
      <c r="A59" s="4" t="s">
        <v>42</v>
      </c>
      <c r="B59" s="13" t="s">
        <v>108</v>
      </c>
      <c r="C59" s="9" t="s">
        <v>221</v>
      </c>
      <c r="D59" s="8">
        <v>0.05</v>
      </c>
      <c r="E59" s="4" t="s">
        <v>36</v>
      </c>
      <c r="F59" s="4" t="s">
        <v>425</v>
      </c>
      <c r="G59" s="16" t="s">
        <v>294</v>
      </c>
      <c r="H59" s="8">
        <f>VLOOKUP(G59,[1]Meta文库质检结果汇总表!$E$2884:$R$3538,14,0)</f>
        <v>29.706299999999999</v>
      </c>
      <c r="I59" s="18">
        <f>VLOOKUP(G59,[1]Meta文库质检结果汇总表!$E$2355:$Q$3538,13,0)</f>
        <v>500</v>
      </c>
      <c r="J59" s="4" t="str">
        <f>VLOOKUP(G59,[1]Meta文库质检结果汇总表!$E$1936:$O$3538,11,0)</f>
        <v>QSEP 100</v>
      </c>
    </row>
    <row r="60" spans="1:10" x14ac:dyDescent="0.15">
      <c r="A60" s="4" t="s">
        <v>42</v>
      </c>
      <c r="B60" s="11" t="s">
        <v>109</v>
      </c>
      <c r="C60" s="9" t="s">
        <v>221</v>
      </c>
      <c r="D60" s="8">
        <v>0.05</v>
      </c>
      <c r="E60" s="4" t="s">
        <v>37</v>
      </c>
      <c r="F60" s="4" t="s">
        <v>425</v>
      </c>
      <c r="G60" s="15" t="s">
        <v>295</v>
      </c>
      <c r="H60" s="8">
        <f>VLOOKUP(G60,[1]Meta文库质检结果汇总表!$E$2884:$R$3538,14,0)</f>
        <v>40.797899999999998</v>
      </c>
      <c r="I60" s="18">
        <f>VLOOKUP(G60,[1]Meta文库质检结果汇总表!$E$2355:$Q$3538,13,0)</f>
        <v>507</v>
      </c>
      <c r="J60" s="4" t="str">
        <f>VLOOKUP(G60,[1]Meta文库质检结果汇总表!$E$1936:$O$3538,11,0)</f>
        <v>QSEP 100</v>
      </c>
    </row>
    <row r="61" spans="1:10" x14ac:dyDescent="0.15">
      <c r="A61" s="4" t="s">
        <v>42</v>
      </c>
      <c r="B61" s="11" t="s">
        <v>110</v>
      </c>
      <c r="C61" s="9" t="s">
        <v>221</v>
      </c>
      <c r="D61" s="8">
        <v>0.05</v>
      </c>
      <c r="E61" s="4" t="s">
        <v>38</v>
      </c>
      <c r="F61" s="4" t="s">
        <v>425</v>
      </c>
      <c r="G61" s="15" t="s">
        <v>296</v>
      </c>
      <c r="H61" s="8">
        <f>VLOOKUP(G61,[1]Meta文库质检结果汇总表!$E$2884:$R$3538,14,0)</f>
        <v>51.281100000000002</v>
      </c>
      <c r="I61" s="18">
        <f>VLOOKUP(G61,[1]Meta文库质检结果汇总表!$E$2355:$Q$3538,13,0)</f>
        <v>513</v>
      </c>
      <c r="J61" s="4" t="str">
        <f>VLOOKUP(G61,[1]Meta文库质检结果汇总表!$E$1936:$O$3538,11,0)</f>
        <v>QSEP 100</v>
      </c>
    </row>
    <row r="62" spans="1:10" x14ac:dyDescent="0.15">
      <c r="A62" s="4" t="s">
        <v>43</v>
      </c>
      <c r="B62" s="11" t="s">
        <v>111</v>
      </c>
      <c r="C62" s="15" t="s">
        <v>222</v>
      </c>
      <c r="D62" s="8">
        <v>0.05</v>
      </c>
      <c r="E62" s="4" t="s">
        <v>19</v>
      </c>
      <c r="F62" s="4" t="s">
        <v>424</v>
      </c>
      <c r="G62" s="15" t="s">
        <v>297</v>
      </c>
      <c r="H62" s="8">
        <f>VLOOKUP(G62,[1]Meta文库质检结果汇总表!$E$2884:$R$3538,14,0)</f>
        <v>31.9176</v>
      </c>
      <c r="I62" s="18">
        <f>VLOOKUP(G62,[1]Meta文库质检结果汇总表!$E$2355:$Q$3538,13,0)</f>
        <v>565</v>
      </c>
      <c r="J62" s="4" t="str">
        <f>VLOOKUP(G62,[1]Meta文库质检结果汇总表!$E$1936:$O$3538,11,0)</f>
        <v>QSEP 100</v>
      </c>
    </row>
    <row r="63" spans="1:10" x14ac:dyDescent="0.15">
      <c r="A63" s="4" t="s">
        <v>43</v>
      </c>
      <c r="B63" s="11" t="s">
        <v>112</v>
      </c>
      <c r="C63" s="9" t="s">
        <v>222</v>
      </c>
      <c r="D63" s="8">
        <v>0.05</v>
      </c>
      <c r="E63" s="4" t="s">
        <v>20</v>
      </c>
      <c r="F63" s="4" t="s">
        <v>424</v>
      </c>
      <c r="G63" s="15" t="s">
        <v>298</v>
      </c>
      <c r="H63" s="8">
        <f>VLOOKUP(G63,[1]Meta文库质检结果汇总表!$E$2884:$R$3538,14,0)</f>
        <v>25.307099999999998</v>
      </c>
      <c r="I63" s="18">
        <f>VLOOKUP(G63,[1]Meta文库质检结果汇总表!$E$2355:$Q$3538,13,0)</f>
        <v>565</v>
      </c>
      <c r="J63" s="4" t="str">
        <f>VLOOKUP(G63,[1]Meta文库质检结果汇总表!$E$1936:$O$3538,11,0)</f>
        <v>QSEP 100</v>
      </c>
    </row>
    <row r="64" spans="1:10" x14ac:dyDescent="0.15">
      <c r="A64" s="4" t="s">
        <v>43</v>
      </c>
      <c r="B64" s="11" t="s">
        <v>113</v>
      </c>
      <c r="C64" s="15" t="s">
        <v>222</v>
      </c>
      <c r="D64" s="8">
        <v>0.05</v>
      </c>
      <c r="E64" s="4" t="s">
        <v>21</v>
      </c>
      <c r="F64" s="4" t="s">
        <v>424</v>
      </c>
      <c r="G64" s="15" t="s">
        <v>299</v>
      </c>
      <c r="H64" s="8">
        <f>VLOOKUP(G64,[1]Meta文库质检结果汇总表!$E$2884:$R$3538,14,0)</f>
        <v>20.416499999999999</v>
      </c>
      <c r="I64" s="18">
        <f>VLOOKUP(G64,[1]Meta文库质检结果汇总表!$E$2355:$Q$3538,13,0)</f>
        <v>564</v>
      </c>
      <c r="J64" s="4" t="str">
        <f>VLOOKUP(G64,[1]Meta文库质检结果汇总表!$E$1936:$O$3538,11,0)</f>
        <v>QSEP 100</v>
      </c>
    </row>
    <row r="65" spans="1:10" x14ac:dyDescent="0.15">
      <c r="A65" s="4" t="s">
        <v>43</v>
      </c>
      <c r="B65" s="11" t="s">
        <v>111</v>
      </c>
      <c r="C65" s="15" t="s">
        <v>223</v>
      </c>
      <c r="D65" s="8">
        <v>0.05</v>
      </c>
      <c r="E65" s="4" t="s">
        <v>26</v>
      </c>
      <c r="F65" s="4" t="s">
        <v>8</v>
      </c>
      <c r="G65" s="15" t="s">
        <v>300</v>
      </c>
      <c r="H65" s="8">
        <f>VLOOKUP(G65,[1]Meta文库质检结果汇总表!$E$2884:$R$3538,14,0)</f>
        <v>14.870699999999999</v>
      </c>
      <c r="I65" s="18">
        <f>VLOOKUP(G65,[1]Meta文库质检结果汇总表!$E$2355:$Q$3538,13,0)</f>
        <v>344</v>
      </c>
      <c r="J65" s="4" t="str">
        <f>VLOOKUP(G65,[1]Meta文库质检结果汇总表!$E$1936:$O$3538,11,0)</f>
        <v>QSEP 100</v>
      </c>
    </row>
    <row r="66" spans="1:10" x14ac:dyDescent="0.15">
      <c r="A66" s="4" t="s">
        <v>43</v>
      </c>
      <c r="B66" s="11" t="s">
        <v>112</v>
      </c>
      <c r="C66" s="15" t="s">
        <v>223</v>
      </c>
      <c r="D66" s="8">
        <v>0.05</v>
      </c>
      <c r="E66" s="4" t="s">
        <v>431</v>
      </c>
      <c r="F66" s="4" t="s">
        <v>8</v>
      </c>
      <c r="G66" s="15" t="s">
        <v>301</v>
      </c>
      <c r="H66" s="8">
        <f>VLOOKUP(G66,[1]Meta文库质检结果汇总表!$E$2884:$R$3538,14,0)</f>
        <v>25.8687</v>
      </c>
      <c r="I66" s="18">
        <f>VLOOKUP(G66,[1]Meta文库质检结果汇总表!$E$2355:$Q$3538,13,0)</f>
        <v>336</v>
      </c>
      <c r="J66" s="4" t="str">
        <f>VLOOKUP(G66,[1]Meta文库质检结果汇总表!$E$1936:$O$3538,11,0)</f>
        <v>QSEP 100</v>
      </c>
    </row>
    <row r="67" spans="1:10" x14ac:dyDescent="0.15">
      <c r="A67" s="4" t="s">
        <v>43</v>
      </c>
      <c r="B67" s="11" t="s">
        <v>113</v>
      </c>
      <c r="C67" s="15" t="s">
        <v>223</v>
      </c>
      <c r="D67" s="8">
        <v>0.05</v>
      </c>
      <c r="E67" s="4" t="s">
        <v>34</v>
      </c>
      <c r="F67" s="4" t="s">
        <v>425</v>
      </c>
      <c r="G67" s="15" t="s">
        <v>302</v>
      </c>
      <c r="H67" s="8">
        <f>VLOOKUP(G67,[1]Meta文库质检结果汇总表!$E$2884:$R$3538,14,0)</f>
        <v>24.7806</v>
      </c>
      <c r="I67" s="18">
        <f>VLOOKUP(G67,[1]Meta文库质检结果汇总表!$E$2355:$Q$3538,13,0)</f>
        <v>338</v>
      </c>
      <c r="J67" s="4" t="str">
        <f>VLOOKUP(G67,[1]Meta文库质检结果汇总表!$E$1936:$O$3538,11,0)</f>
        <v>QSEP 100</v>
      </c>
    </row>
    <row r="68" spans="1:10" s="19" customFormat="1" x14ac:dyDescent="0.15">
      <c r="A68" s="19" t="s">
        <v>44</v>
      </c>
      <c r="B68" s="20">
        <v>10</v>
      </c>
      <c r="C68" s="21" t="s">
        <v>222</v>
      </c>
      <c r="D68" s="22">
        <v>0.05</v>
      </c>
      <c r="E68" s="19" t="s">
        <v>32</v>
      </c>
      <c r="F68" s="19" t="s">
        <v>426</v>
      </c>
      <c r="G68" s="23" t="s">
        <v>303</v>
      </c>
      <c r="H68" s="22">
        <f>VLOOKUP(G68,[1]Meta文库质检结果汇总表!$E$3104:$AA$3110,23,0)</f>
        <v>33.658200000000001</v>
      </c>
      <c r="I68" s="24">
        <f>VLOOKUP(G68,[1]Meta文库质检结果汇总表!$E$3104:$Z$3110,22,0)</f>
        <v>622</v>
      </c>
      <c r="J68" s="4" t="str">
        <f>VLOOKUP(G68,[1]Meta文库质检结果汇总表!$E$1936:$O$3538,11,0)</f>
        <v>FA SS 1-6K</v>
      </c>
    </row>
    <row r="69" spans="1:10" s="19" customFormat="1" x14ac:dyDescent="0.15">
      <c r="A69" s="19" t="s">
        <v>44</v>
      </c>
      <c r="B69" s="20">
        <v>24</v>
      </c>
      <c r="C69" s="21" t="s">
        <v>222</v>
      </c>
      <c r="D69" s="22">
        <v>0.05</v>
      </c>
      <c r="E69" s="19" t="s">
        <v>33</v>
      </c>
      <c r="F69" s="19" t="s">
        <v>426</v>
      </c>
      <c r="G69" s="23" t="s">
        <v>304</v>
      </c>
      <c r="H69" s="22">
        <f>VLOOKUP(G69,[1]Meta文库质检结果汇总表!$E$3104:$AA$3110,23,0)</f>
        <v>46.639099999999999</v>
      </c>
      <c r="I69" s="24">
        <f>VLOOKUP(G69,[1]Meta文库质检结果汇总表!$E$3104:$Z$3110,22,0)</f>
        <v>608</v>
      </c>
      <c r="J69" s="4" t="str">
        <f>VLOOKUP(G69,[1]Meta文库质检结果汇总表!$E$1936:$O$3538,11,0)</f>
        <v>FA SS 1-6K</v>
      </c>
    </row>
    <row r="70" spans="1:10" s="19" customFormat="1" x14ac:dyDescent="0.15">
      <c r="A70" s="19" t="s">
        <v>44</v>
      </c>
      <c r="B70" s="20">
        <v>25</v>
      </c>
      <c r="C70" s="21" t="s">
        <v>222</v>
      </c>
      <c r="D70" s="22">
        <v>0.05</v>
      </c>
      <c r="E70" s="19" t="s">
        <v>27</v>
      </c>
      <c r="F70" s="19" t="s">
        <v>427</v>
      </c>
      <c r="G70" s="23" t="s">
        <v>305</v>
      </c>
      <c r="H70" s="22">
        <f>VLOOKUP(G70,[1]Meta文库质检结果汇总表!$E$3104:$AA$3110,23,0)</f>
        <v>38.563299999999998</v>
      </c>
      <c r="I70" s="24">
        <f>VLOOKUP(G70,[1]Meta文库质检结果汇总表!$E$3104:$Z$3110,22,0)</f>
        <v>597</v>
      </c>
      <c r="J70" s="4" t="str">
        <f>VLOOKUP(G70,[1]Meta文库质检结果汇总表!$E$1936:$O$3538,11,0)</f>
        <v>FA SS 1-6K</v>
      </c>
    </row>
    <row r="71" spans="1:10" s="19" customFormat="1" x14ac:dyDescent="0.15">
      <c r="A71" s="19" t="s">
        <v>44</v>
      </c>
      <c r="B71" s="20">
        <v>29</v>
      </c>
      <c r="C71" s="21" t="s">
        <v>222</v>
      </c>
      <c r="D71" s="22">
        <v>0.05</v>
      </c>
      <c r="E71" s="19" t="s">
        <v>28</v>
      </c>
      <c r="F71" s="19" t="s">
        <v>427</v>
      </c>
      <c r="G71" s="23" t="s">
        <v>306</v>
      </c>
      <c r="H71" s="22">
        <f>VLOOKUP(G71,[1]Meta文库质检结果汇总表!$E$3104:$AA$3110,23,0)</f>
        <v>39.945399999999999</v>
      </c>
      <c r="I71" s="24">
        <f>VLOOKUP(G71,[1]Meta文库质检结果汇总表!$E$3104:$Z$3110,22,0)</f>
        <v>591</v>
      </c>
      <c r="J71" s="4" t="str">
        <f>VLOOKUP(G71,[1]Meta文库质检结果汇总表!$E$1936:$O$3538,11,0)</f>
        <v>FA SS 1-6K</v>
      </c>
    </row>
    <row r="72" spans="1:10" s="19" customFormat="1" x14ac:dyDescent="0.15">
      <c r="A72" s="19" t="s">
        <v>44</v>
      </c>
      <c r="B72" s="20" t="s">
        <v>114</v>
      </c>
      <c r="C72" s="21" t="s">
        <v>222</v>
      </c>
      <c r="D72" s="22">
        <v>0.05</v>
      </c>
      <c r="E72" s="19" t="s">
        <v>29</v>
      </c>
      <c r="F72" s="19" t="s">
        <v>427</v>
      </c>
      <c r="G72" s="23" t="s">
        <v>307</v>
      </c>
      <c r="H72" s="22">
        <f>VLOOKUP(G72,[1]Meta文库质检结果汇总表!$E$3104:$AA$3110,23,0)</f>
        <v>29.105399999999999</v>
      </c>
      <c r="I72" s="24">
        <f>VLOOKUP(G72,[1]Meta文库质检结果汇总表!$E$3104:$Z$3110,22,0)</f>
        <v>631</v>
      </c>
      <c r="J72" s="4" t="str">
        <f>VLOOKUP(G72,[1]Meta文库质检结果汇总表!$E$1936:$O$3538,11,0)</f>
        <v>FA SS 1-6K</v>
      </c>
    </row>
    <row r="73" spans="1:10" s="19" customFormat="1" x14ac:dyDescent="0.15">
      <c r="A73" s="19" t="s">
        <v>44</v>
      </c>
      <c r="B73" s="20" t="s">
        <v>115</v>
      </c>
      <c r="C73" s="21" t="s">
        <v>222</v>
      </c>
      <c r="D73" s="22">
        <v>0.05</v>
      </c>
      <c r="E73" s="19" t="s">
        <v>30</v>
      </c>
      <c r="F73" s="19" t="s">
        <v>427</v>
      </c>
      <c r="G73" s="23" t="s">
        <v>308</v>
      </c>
      <c r="H73" s="22">
        <f>VLOOKUP(G73,[1]Meta文库质检结果汇总表!$E$3104:$AA$3110,23,0)</f>
        <v>26.395399999999999</v>
      </c>
      <c r="I73" s="24">
        <f>VLOOKUP(G73,[1]Meta文库质检结果汇总表!$E$3104:$Z$3110,22,0)</f>
        <v>628</v>
      </c>
      <c r="J73" s="4" t="str">
        <f>VLOOKUP(G73,[1]Meta文库质检结果汇总表!$E$1936:$O$3538,11,0)</f>
        <v>FA SS 1-6K</v>
      </c>
    </row>
    <row r="74" spans="1:10" s="19" customFormat="1" x14ac:dyDescent="0.15">
      <c r="A74" s="19" t="s">
        <v>44</v>
      </c>
      <c r="B74" s="20" t="s">
        <v>116</v>
      </c>
      <c r="C74" s="21" t="s">
        <v>222</v>
      </c>
      <c r="D74" s="22">
        <v>0.05</v>
      </c>
      <c r="E74" s="19" t="s">
        <v>31</v>
      </c>
      <c r="F74" s="19" t="s">
        <v>427</v>
      </c>
      <c r="G74" s="23" t="s">
        <v>309</v>
      </c>
      <c r="H74" s="22">
        <f>VLOOKUP(G74,[1]Meta文库质检结果汇总表!$E$3104:$AA$3110,23,0)</f>
        <v>27.723300000000002</v>
      </c>
      <c r="I74" s="24">
        <f>VLOOKUP(G74,[1]Meta文库质检结果汇总表!$E$3104:$Z$3110,22,0)</f>
        <v>640</v>
      </c>
      <c r="J74" s="4" t="str">
        <f>VLOOKUP(G74,[1]Meta文库质检结果汇总表!$E$1936:$O$3538,11,0)</f>
        <v>FA SS 1-6K</v>
      </c>
    </row>
    <row r="75" spans="1:10" x14ac:dyDescent="0.15">
      <c r="A75" s="4" t="s">
        <v>45</v>
      </c>
      <c r="B75" s="13" t="s">
        <v>117</v>
      </c>
      <c r="C75" s="16" t="s">
        <v>25</v>
      </c>
      <c r="D75" s="8">
        <v>6.5000000000000002E-2</v>
      </c>
      <c r="E75" s="4" t="s">
        <v>9</v>
      </c>
      <c r="F75" s="4" t="s">
        <v>427</v>
      </c>
      <c r="G75" s="9" t="s">
        <v>310</v>
      </c>
      <c r="H75" s="8">
        <f>VLOOKUP(G75,[1]Meta文库质检结果汇总表!$E$2884:$R$3538,14,0)</f>
        <v>14.4963</v>
      </c>
      <c r="I75" s="18">
        <f>VLOOKUP(G75,[1]Meta文库质检结果汇总表!$E$2355:$Q$3538,13,0)</f>
        <v>639</v>
      </c>
      <c r="J75" s="4" t="str">
        <f>VLOOKUP(G75,[1]Meta文库质检结果汇总表!$E$1936:$O$3538,11,0)</f>
        <v>QSEP 100</v>
      </c>
    </row>
    <row r="76" spans="1:10" x14ac:dyDescent="0.15">
      <c r="A76" s="4" t="s">
        <v>45</v>
      </c>
      <c r="B76" s="13" t="s">
        <v>118</v>
      </c>
      <c r="C76" s="16" t="s">
        <v>25</v>
      </c>
      <c r="D76" s="8">
        <v>6.5000000000000002E-2</v>
      </c>
      <c r="E76" s="4" t="s">
        <v>10</v>
      </c>
      <c r="F76" s="4" t="s">
        <v>427</v>
      </c>
      <c r="G76" s="9" t="s">
        <v>311</v>
      </c>
      <c r="H76" s="8">
        <f>VLOOKUP(G76,[1]Meta文库质检结果汇总表!$E$2884:$R$3538,14,0)</f>
        <v>16.121700000000001</v>
      </c>
      <c r="I76" s="18">
        <f>VLOOKUP(G76,[1]Meta文库质检结果汇总表!$E$2355:$Q$3538,13,0)</f>
        <v>641</v>
      </c>
      <c r="J76" s="4" t="str">
        <f>VLOOKUP(G76,[1]Meta文库质检结果汇总表!$E$1936:$O$3538,11,0)</f>
        <v>QSEP 100</v>
      </c>
    </row>
    <row r="77" spans="1:10" x14ac:dyDescent="0.15">
      <c r="A77" s="4" t="s">
        <v>45</v>
      </c>
      <c r="B77" s="13" t="s">
        <v>119</v>
      </c>
      <c r="C77" s="16" t="s">
        <v>25</v>
      </c>
      <c r="D77" s="8">
        <v>6.5000000000000002E-2</v>
      </c>
      <c r="E77" s="4" t="s">
        <v>11</v>
      </c>
      <c r="F77" s="4" t="s">
        <v>427</v>
      </c>
      <c r="G77" s="9" t="s">
        <v>312</v>
      </c>
      <c r="H77" s="8">
        <f>VLOOKUP(G77,[1]Meta文库质检结果汇总表!$E$2884:$R$3538,14,0)</f>
        <v>21.092400000000001</v>
      </c>
      <c r="I77" s="18">
        <f>VLOOKUP(G77,[1]Meta文库质检结果汇总表!$E$2355:$Q$3538,13,0)</f>
        <v>636</v>
      </c>
      <c r="J77" s="4" t="str">
        <f>VLOOKUP(G77,[1]Meta文库质检结果汇总表!$E$1936:$O$3538,11,0)</f>
        <v>QSEP 100</v>
      </c>
    </row>
    <row r="78" spans="1:10" x14ac:dyDescent="0.15">
      <c r="A78" s="4" t="s">
        <v>45</v>
      </c>
      <c r="B78" s="13" t="s">
        <v>120</v>
      </c>
      <c r="C78" s="16" t="s">
        <v>25</v>
      </c>
      <c r="D78" s="8">
        <v>6.5000000000000002E-2</v>
      </c>
      <c r="E78" s="4" t="s">
        <v>12</v>
      </c>
      <c r="F78" s="4" t="s">
        <v>427</v>
      </c>
      <c r="G78" s="9" t="s">
        <v>313</v>
      </c>
      <c r="H78" s="8">
        <f>VLOOKUP(G78,[1]Meta文库质检结果汇总表!$E$2884:$R$3538,14,0)</f>
        <v>18.767700000000001</v>
      </c>
      <c r="I78" s="18">
        <f>VLOOKUP(G78,[1]Meta文库质检结果汇总表!$E$2355:$Q$3538,13,0)</f>
        <v>674</v>
      </c>
      <c r="J78" s="4" t="str">
        <f>VLOOKUP(G78,[1]Meta文库质检结果汇总表!$E$1936:$O$3538,11,0)</f>
        <v>QSEP 100</v>
      </c>
    </row>
    <row r="79" spans="1:10" x14ac:dyDescent="0.15">
      <c r="A79" s="4" t="s">
        <v>45</v>
      </c>
      <c r="B79" s="13" t="s">
        <v>121</v>
      </c>
      <c r="C79" s="16" t="s">
        <v>25</v>
      </c>
      <c r="D79" s="8">
        <v>6.5000000000000002E-2</v>
      </c>
      <c r="E79" s="4" t="s">
        <v>13</v>
      </c>
      <c r="F79" s="4" t="s">
        <v>427</v>
      </c>
      <c r="G79" s="9" t="s">
        <v>314</v>
      </c>
      <c r="H79" s="8">
        <f>VLOOKUP(G79,[1]Meta文库质检结果汇总表!$E$2884:$R$3538,14,0)</f>
        <v>15.290100000000001</v>
      </c>
      <c r="I79" s="18">
        <f>VLOOKUP(G79,[1]Meta文库质检结果汇总表!$E$2355:$Q$3538,13,0)</f>
        <v>665</v>
      </c>
      <c r="J79" s="4" t="str">
        <f>VLOOKUP(G79,[1]Meta文库质检结果汇总表!$E$1936:$O$3538,11,0)</f>
        <v>QSEP 100</v>
      </c>
    </row>
    <row r="80" spans="1:10" x14ac:dyDescent="0.15">
      <c r="A80" s="4" t="s">
        <v>45</v>
      </c>
      <c r="B80" s="13" t="s">
        <v>122</v>
      </c>
      <c r="C80" s="16" t="s">
        <v>25</v>
      </c>
      <c r="D80" s="8">
        <v>6.5000000000000002E-2</v>
      </c>
      <c r="E80" s="4" t="s">
        <v>14</v>
      </c>
      <c r="F80" s="4" t="s">
        <v>427</v>
      </c>
      <c r="G80" s="9" t="s">
        <v>315</v>
      </c>
      <c r="H80" s="8">
        <f>VLOOKUP(G80,[1]Meta文库质检结果汇总表!$E$2884:$R$3538,14,0)</f>
        <v>14.8743</v>
      </c>
      <c r="I80" s="18">
        <f>VLOOKUP(G80,[1]Meta文库质检结果汇总表!$E$2355:$Q$3538,13,0)</f>
        <v>653</v>
      </c>
      <c r="J80" s="4" t="str">
        <f>VLOOKUP(G80,[1]Meta文库质检结果汇总表!$E$1936:$O$3538,11,0)</f>
        <v>QSEP 100</v>
      </c>
    </row>
    <row r="81" spans="1:10" x14ac:dyDescent="0.15">
      <c r="A81" s="4" t="s">
        <v>45</v>
      </c>
      <c r="B81" s="13" t="s">
        <v>123</v>
      </c>
      <c r="C81" s="16" t="s">
        <v>25</v>
      </c>
      <c r="D81" s="8">
        <v>6.5000000000000002E-2</v>
      </c>
      <c r="E81" s="4" t="s">
        <v>15</v>
      </c>
      <c r="F81" s="4" t="s">
        <v>427</v>
      </c>
      <c r="G81" s="9" t="s">
        <v>316</v>
      </c>
      <c r="H81" s="8">
        <f>VLOOKUP(G81,[1]Meta文库质检结果汇总表!$E$2884:$R$3538,14,0)</f>
        <v>17.5959</v>
      </c>
      <c r="I81" s="18">
        <f>VLOOKUP(G81,[1]Meta文库质检结果汇总表!$E$2355:$Q$3538,13,0)</f>
        <v>654</v>
      </c>
      <c r="J81" s="4" t="str">
        <f>VLOOKUP(G81,[1]Meta文库质检结果汇总表!$E$1936:$O$3538,11,0)</f>
        <v>QSEP 100</v>
      </c>
    </row>
    <row r="82" spans="1:10" x14ac:dyDescent="0.15">
      <c r="A82" s="4" t="s">
        <v>45</v>
      </c>
      <c r="B82" s="13" t="s">
        <v>124</v>
      </c>
      <c r="C82" s="16" t="s">
        <v>25</v>
      </c>
      <c r="D82" s="8">
        <v>6.5000000000000002E-2</v>
      </c>
      <c r="E82" s="4" t="s">
        <v>16</v>
      </c>
      <c r="F82" s="4" t="s">
        <v>427</v>
      </c>
      <c r="G82" s="9" t="s">
        <v>317</v>
      </c>
      <c r="H82" s="8">
        <f>VLOOKUP(G82,[1]Meta文库质检结果汇总表!$E$2884:$R$3538,14,0)</f>
        <v>16.877700000000001</v>
      </c>
      <c r="I82" s="18">
        <f>VLOOKUP(G82,[1]Meta文库质检结果汇总表!$E$2355:$Q$3538,13,0)</f>
        <v>656</v>
      </c>
      <c r="J82" s="4" t="str">
        <f>VLOOKUP(G82,[1]Meta文库质检结果汇总表!$E$1936:$O$3538,11,0)</f>
        <v>QSEP 100</v>
      </c>
    </row>
    <row r="83" spans="1:10" x14ac:dyDescent="0.15">
      <c r="A83" s="4" t="s">
        <v>45</v>
      </c>
      <c r="B83" s="13" t="s">
        <v>125</v>
      </c>
      <c r="C83" s="16" t="s">
        <v>25</v>
      </c>
      <c r="D83" s="8">
        <v>6.5000000000000002E-2</v>
      </c>
      <c r="E83" s="4" t="s">
        <v>9</v>
      </c>
      <c r="F83" s="4" t="s">
        <v>428</v>
      </c>
      <c r="G83" s="9" t="s">
        <v>318</v>
      </c>
      <c r="H83" s="8">
        <f>VLOOKUP(G83,[1]Meta文库质检结果汇总表!$E$2884:$R$3538,14,0)</f>
        <v>22.887899999999998</v>
      </c>
      <c r="I83" s="18">
        <f>VLOOKUP(G83,[1]Meta文库质检结果汇总表!$E$2355:$Q$3538,13,0)</f>
        <v>631</v>
      </c>
      <c r="J83" s="4" t="str">
        <f>VLOOKUP(G83,[1]Meta文库质检结果汇总表!$E$1936:$O$3538,11,0)</f>
        <v>QSEP 100</v>
      </c>
    </row>
    <row r="84" spans="1:10" x14ac:dyDescent="0.15">
      <c r="A84" s="4" t="s">
        <v>45</v>
      </c>
      <c r="B84" s="13" t="s">
        <v>126</v>
      </c>
      <c r="C84" s="16" t="s">
        <v>25</v>
      </c>
      <c r="D84" s="8">
        <v>6.5000000000000002E-2</v>
      </c>
      <c r="E84" s="4" t="s">
        <v>10</v>
      </c>
      <c r="F84" s="4" t="s">
        <v>428</v>
      </c>
      <c r="G84" s="9" t="s">
        <v>319</v>
      </c>
      <c r="H84" s="8">
        <f>VLOOKUP(G84,[1]Meta文库质检结果汇总表!$E$2884:$R$3538,14,0)</f>
        <v>13.645799999999999</v>
      </c>
      <c r="I84" s="18">
        <f>VLOOKUP(G84,[1]Meta文库质检结果汇总表!$E$2355:$Q$3538,13,0)</f>
        <v>651</v>
      </c>
      <c r="J84" s="4" t="str">
        <f>VLOOKUP(G84,[1]Meta文库质检结果汇总表!$E$1936:$O$3538,11,0)</f>
        <v>QSEP 100</v>
      </c>
    </row>
    <row r="85" spans="1:10" x14ac:dyDescent="0.15">
      <c r="A85" s="4" t="s">
        <v>45</v>
      </c>
      <c r="B85" s="13" t="s">
        <v>127</v>
      </c>
      <c r="C85" s="16" t="s">
        <v>25</v>
      </c>
      <c r="D85" s="8">
        <v>6.5000000000000002E-2</v>
      </c>
      <c r="E85" s="4" t="s">
        <v>11</v>
      </c>
      <c r="F85" s="4" t="s">
        <v>428</v>
      </c>
      <c r="G85" s="9" t="s">
        <v>320</v>
      </c>
      <c r="H85" s="8">
        <f>VLOOKUP(G85,[1]Meta文库质检结果汇总表!$E$2884:$R$3538,14,0)</f>
        <v>21.2058</v>
      </c>
      <c r="I85" s="18">
        <f>VLOOKUP(G85,[1]Meta文库质检结果汇总表!$E$2355:$Q$3538,13,0)</f>
        <v>634</v>
      </c>
      <c r="J85" s="4" t="str">
        <f>VLOOKUP(G85,[1]Meta文库质检结果汇总表!$E$1936:$O$3538,11,0)</f>
        <v>QSEP 100</v>
      </c>
    </row>
    <row r="86" spans="1:10" x14ac:dyDescent="0.15">
      <c r="A86" s="4" t="s">
        <v>45</v>
      </c>
      <c r="B86" s="13" t="s">
        <v>128</v>
      </c>
      <c r="C86" s="16" t="s">
        <v>25</v>
      </c>
      <c r="D86" s="8">
        <v>6.5000000000000002E-2</v>
      </c>
      <c r="E86" s="4" t="s">
        <v>12</v>
      </c>
      <c r="F86" s="4" t="s">
        <v>428</v>
      </c>
      <c r="G86" s="9" t="s">
        <v>321</v>
      </c>
      <c r="H86" s="8">
        <f>VLOOKUP(G86,[1]Meta文库质检结果汇总表!$E$2884:$R$3538,14,0)</f>
        <v>21.734999999999999</v>
      </c>
      <c r="I86" s="18">
        <f>VLOOKUP(G86,[1]Meta文库质检结果汇总表!$E$2355:$Q$3538,13,0)</f>
        <v>661</v>
      </c>
      <c r="J86" s="4" t="str">
        <f>VLOOKUP(G86,[1]Meta文库质检结果汇总表!$E$1936:$O$3538,11,0)</f>
        <v>QSEP 100</v>
      </c>
    </row>
    <row r="87" spans="1:10" x14ac:dyDescent="0.15">
      <c r="A87" s="4" t="s">
        <v>45</v>
      </c>
      <c r="B87" s="13" t="s">
        <v>129</v>
      </c>
      <c r="C87" s="16" t="s">
        <v>25</v>
      </c>
      <c r="D87" s="8">
        <v>6.5000000000000002E-2</v>
      </c>
      <c r="E87" s="4" t="s">
        <v>13</v>
      </c>
      <c r="F87" s="4" t="s">
        <v>428</v>
      </c>
      <c r="G87" s="9" t="s">
        <v>322</v>
      </c>
      <c r="H87" s="8">
        <f>VLOOKUP(G87,[1]Meta文库质检结果汇总表!$E$2884:$R$3538,14,0)</f>
        <v>19.391400000000001</v>
      </c>
      <c r="I87" s="18">
        <f>VLOOKUP(G87,[1]Meta文库质检结果汇总表!$E$2355:$Q$3538,13,0)</f>
        <v>653</v>
      </c>
      <c r="J87" s="4" t="str">
        <f>VLOOKUP(G87,[1]Meta文库质检结果汇总表!$E$1936:$O$3538,11,0)</f>
        <v>QSEP 100</v>
      </c>
    </row>
    <row r="88" spans="1:10" x14ac:dyDescent="0.15">
      <c r="A88" s="4" t="s">
        <v>45</v>
      </c>
      <c r="B88" s="13" t="s">
        <v>130</v>
      </c>
      <c r="C88" s="16" t="s">
        <v>25</v>
      </c>
      <c r="D88" s="8">
        <v>6.5000000000000002E-2</v>
      </c>
      <c r="E88" s="4" t="s">
        <v>14</v>
      </c>
      <c r="F88" s="4" t="s">
        <v>428</v>
      </c>
      <c r="G88" s="9" t="s">
        <v>323</v>
      </c>
      <c r="H88" s="8">
        <f>VLOOKUP(G88,[1]Meta文库质检结果汇总表!$E$2884:$R$3538,14,0)</f>
        <v>22.642199999999999</v>
      </c>
      <c r="I88" s="18">
        <f>VLOOKUP(G88,[1]Meta文库质检结果汇总表!$E$2355:$Q$3538,13,0)</f>
        <v>646</v>
      </c>
      <c r="J88" s="4" t="str">
        <f>VLOOKUP(G88,[1]Meta文库质检结果汇总表!$E$1936:$O$3538,11,0)</f>
        <v>QSEP 100</v>
      </c>
    </row>
    <row r="89" spans="1:10" x14ac:dyDescent="0.15">
      <c r="A89" s="4" t="s">
        <v>45</v>
      </c>
      <c r="B89" s="13" t="s">
        <v>131</v>
      </c>
      <c r="C89" s="16" t="s">
        <v>25</v>
      </c>
      <c r="D89" s="8">
        <v>6.5000000000000002E-2</v>
      </c>
      <c r="E89" s="4" t="s">
        <v>15</v>
      </c>
      <c r="F89" s="4" t="s">
        <v>428</v>
      </c>
      <c r="G89" s="9" t="s">
        <v>324</v>
      </c>
      <c r="H89" s="8">
        <f>VLOOKUP(G89,[1]Meta文库质检结果汇总表!$E$2884:$R$3538,14,0)</f>
        <v>15.3279</v>
      </c>
      <c r="I89" s="18">
        <f>VLOOKUP(G89,[1]Meta文库质检结果汇总表!$E$2355:$Q$3538,13,0)</f>
        <v>663</v>
      </c>
      <c r="J89" s="4" t="str">
        <f>VLOOKUP(G89,[1]Meta文库质检结果汇总表!$E$1936:$O$3538,11,0)</f>
        <v>QSEP 100</v>
      </c>
    </row>
    <row r="90" spans="1:10" x14ac:dyDescent="0.15">
      <c r="A90" s="4" t="s">
        <v>45</v>
      </c>
      <c r="B90" s="13" t="s">
        <v>132</v>
      </c>
      <c r="C90" s="16" t="s">
        <v>25</v>
      </c>
      <c r="D90" s="8">
        <v>6.5000000000000002E-2</v>
      </c>
      <c r="E90" s="4" t="s">
        <v>16</v>
      </c>
      <c r="F90" s="4" t="s">
        <v>428</v>
      </c>
      <c r="G90" s="9" t="s">
        <v>325</v>
      </c>
      <c r="H90" s="8">
        <f>VLOOKUP(G90,[1]Meta文库质检结果汇总表!$E$2884:$R$3538,14,0)</f>
        <v>20.0718</v>
      </c>
      <c r="I90" s="18">
        <f>VLOOKUP(G90,[1]Meta文库质检结果汇总表!$E$2355:$Q$3538,13,0)</f>
        <v>658</v>
      </c>
      <c r="J90" s="4" t="str">
        <f>VLOOKUP(G90,[1]Meta文库质检结果汇总表!$E$1936:$O$3538,11,0)</f>
        <v>QSEP 100</v>
      </c>
    </row>
    <row r="91" spans="1:10" x14ac:dyDescent="0.15">
      <c r="A91" s="4" t="s">
        <v>45</v>
      </c>
      <c r="B91" s="13" t="s">
        <v>133</v>
      </c>
      <c r="C91" s="16" t="s">
        <v>25</v>
      </c>
      <c r="D91" s="8">
        <v>6.5000000000000002E-2</v>
      </c>
      <c r="E91" s="4" t="s">
        <v>9</v>
      </c>
      <c r="F91" s="4" t="s">
        <v>429</v>
      </c>
      <c r="G91" s="9" t="s">
        <v>326</v>
      </c>
      <c r="H91" s="8">
        <f>VLOOKUP(G91,[1]Meta文库质检结果汇总表!$E$2884:$R$3538,14,0)</f>
        <v>14.912100000000001</v>
      </c>
      <c r="I91" s="18">
        <f>VLOOKUP(G91,[1]Meta文库质检结果汇总表!$E$2355:$Q$3538,13,0)</f>
        <v>659</v>
      </c>
      <c r="J91" s="4" t="str">
        <f>VLOOKUP(G91,[1]Meta文库质检结果汇总表!$E$1936:$O$3538,11,0)</f>
        <v>QSEP 100</v>
      </c>
    </row>
    <row r="92" spans="1:10" x14ac:dyDescent="0.15">
      <c r="A92" s="4" t="s">
        <v>45</v>
      </c>
      <c r="B92" s="13" t="s">
        <v>134</v>
      </c>
      <c r="C92" s="16" t="s">
        <v>25</v>
      </c>
      <c r="D92" s="8">
        <v>6.5000000000000002E-2</v>
      </c>
      <c r="E92" s="4" t="s">
        <v>10</v>
      </c>
      <c r="F92" s="4" t="s">
        <v>429</v>
      </c>
      <c r="G92" s="9" t="s">
        <v>327</v>
      </c>
      <c r="H92" s="8">
        <f>VLOOKUP(G92,[1]Meta文库质检结果汇总表!$E$2884:$R$3538,14,0)</f>
        <v>24.2865</v>
      </c>
      <c r="I92" s="18">
        <f>VLOOKUP(G92,[1]Meta文库质检结果汇总表!$E$2355:$Q$3538,13,0)</f>
        <v>649</v>
      </c>
      <c r="J92" s="4" t="str">
        <f>VLOOKUP(G92,[1]Meta文库质检结果汇总表!$E$1936:$O$3538,11,0)</f>
        <v>QSEP 100</v>
      </c>
    </row>
    <row r="93" spans="1:10" x14ac:dyDescent="0.15">
      <c r="A93" s="4" t="s">
        <v>45</v>
      </c>
      <c r="B93" s="13" t="s">
        <v>135</v>
      </c>
      <c r="C93" s="16" t="s">
        <v>25</v>
      </c>
      <c r="D93" s="8">
        <v>6.5000000000000002E-2</v>
      </c>
      <c r="E93" s="4" t="s">
        <v>11</v>
      </c>
      <c r="F93" s="4" t="s">
        <v>429</v>
      </c>
      <c r="G93" s="9" t="s">
        <v>328</v>
      </c>
      <c r="H93" s="8">
        <f>VLOOKUP(G93,[1]Meta文库质检结果汇总表!$E$2884:$R$3538,14,0)</f>
        <v>22.68</v>
      </c>
      <c r="I93" s="18">
        <f>VLOOKUP(G93,[1]Meta文库质检结果汇总表!$E$2355:$Q$3538,13,0)</f>
        <v>651</v>
      </c>
      <c r="J93" s="4" t="str">
        <f>VLOOKUP(G93,[1]Meta文库质检结果汇总表!$E$1936:$O$3538,11,0)</f>
        <v>QSEP 100</v>
      </c>
    </row>
    <row r="94" spans="1:10" x14ac:dyDescent="0.15">
      <c r="A94" s="4" t="s">
        <v>45</v>
      </c>
      <c r="B94" s="13" t="s">
        <v>136</v>
      </c>
      <c r="C94" s="16" t="s">
        <v>25</v>
      </c>
      <c r="D94" s="8">
        <v>6.5000000000000002E-2</v>
      </c>
      <c r="E94" s="4" t="s">
        <v>12</v>
      </c>
      <c r="F94" s="4" t="s">
        <v>429</v>
      </c>
      <c r="G94" s="9" t="s">
        <v>329</v>
      </c>
      <c r="H94" s="8">
        <f>VLOOKUP(G94,[1]Meta文库质检结果汇总表!$E$2884:$R$3538,14,0)</f>
        <v>17.293500000000002</v>
      </c>
      <c r="I94" s="18">
        <f>VLOOKUP(G94,[1]Meta文库质检结果汇总表!$E$2355:$Q$3538,13,0)</f>
        <v>650</v>
      </c>
      <c r="J94" s="4" t="str">
        <f>VLOOKUP(G94,[1]Meta文库质检结果汇总表!$E$1936:$O$3538,11,0)</f>
        <v>QSEP 100</v>
      </c>
    </row>
    <row r="95" spans="1:10" x14ac:dyDescent="0.15">
      <c r="A95" s="4" t="s">
        <v>45</v>
      </c>
      <c r="B95" s="13" t="s">
        <v>137</v>
      </c>
      <c r="C95" s="16" t="s">
        <v>25</v>
      </c>
      <c r="D95" s="8">
        <v>6.5000000000000002E-2</v>
      </c>
      <c r="E95" s="4" t="s">
        <v>13</v>
      </c>
      <c r="F95" s="4" t="s">
        <v>429</v>
      </c>
      <c r="G95" s="9" t="s">
        <v>330</v>
      </c>
      <c r="H95" s="8">
        <f>VLOOKUP(G95,[1]Meta文库质检结果汇总表!$E$2884:$R$3538,14,0)</f>
        <v>13.2867</v>
      </c>
      <c r="I95" s="18">
        <f>VLOOKUP(G95,[1]Meta文库质检结果汇总表!$E$2355:$Q$3538,13,0)</f>
        <v>662</v>
      </c>
      <c r="J95" s="4" t="str">
        <f>VLOOKUP(G95,[1]Meta文库质检结果汇总表!$E$1936:$O$3538,11,0)</f>
        <v>QSEP 100</v>
      </c>
    </row>
    <row r="96" spans="1:10" x14ac:dyDescent="0.15">
      <c r="A96" s="4" t="s">
        <v>45</v>
      </c>
      <c r="B96" s="13" t="s">
        <v>138</v>
      </c>
      <c r="C96" s="16" t="s">
        <v>25</v>
      </c>
      <c r="D96" s="8">
        <v>6.5000000000000002E-2</v>
      </c>
      <c r="E96" s="4" t="s">
        <v>14</v>
      </c>
      <c r="F96" s="4" t="s">
        <v>429</v>
      </c>
      <c r="G96" s="9" t="s">
        <v>331</v>
      </c>
      <c r="H96" s="8">
        <f>VLOOKUP(G96,[1]Meta文库质检结果汇总表!$E$2884:$R$3538,14,0)</f>
        <v>13.059900000000001</v>
      </c>
      <c r="I96" s="18">
        <f>VLOOKUP(G96,[1]Meta文库质检结果汇总表!$E$2355:$Q$3538,13,0)</f>
        <v>665</v>
      </c>
      <c r="J96" s="4" t="str">
        <f>VLOOKUP(G96,[1]Meta文库质检结果汇总表!$E$1936:$O$3538,11,0)</f>
        <v>QSEP 100</v>
      </c>
    </row>
    <row r="97" spans="1:10" x14ac:dyDescent="0.15">
      <c r="A97" s="4" t="s">
        <v>45</v>
      </c>
      <c r="B97" s="13" t="s">
        <v>139</v>
      </c>
      <c r="C97" s="16" t="s">
        <v>25</v>
      </c>
      <c r="D97" s="8">
        <v>6.5000000000000002E-2</v>
      </c>
      <c r="E97" s="4" t="s">
        <v>15</v>
      </c>
      <c r="F97" s="4" t="s">
        <v>429</v>
      </c>
      <c r="G97" s="9" t="s">
        <v>332</v>
      </c>
      <c r="H97" s="8">
        <f>VLOOKUP(G97,[1]Meta文库质检结果汇总表!$E$2884:$R$3538,14,0)</f>
        <v>17.047799999999999</v>
      </c>
      <c r="I97" s="18">
        <f>VLOOKUP(G97,[1]Meta文库质检结果汇总表!$E$2355:$Q$3538,13,0)</f>
        <v>661</v>
      </c>
      <c r="J97" s="4" t="str">
        <f>VLOOKUP(G97,[1]Meta文库质检结果汇总表!$E$1936:$O$3538,11,0)</f>
        <v>QSEP 100</v>
      </c>
    </row>
    <row r="98" spans="1:10" x14ac:dyDescent="0.15">
      <c r="A98" s="4" t="s">
        <v>45</v>
      </c>
      <c r="B98" s="13" t="s">
        <v>140</v>
      </c>
      <c r="C98" s="16" t="s">
        <v>25</v>
      </c>
      <c r="D98" s="8">
        <v>6.5000000000000002E-2</v>
      </c>
      <c r="E98" s="4" t="s">
        <v>16</v>
      </c>
      <c r="F98" s="4" t="s">
        <v>429</v>
      </c>
      <c r="G98" s="9" t="s">
        <v>333</v>
      </c>
      <c r="H98" s="8">
        <f>VLOOKUP(G98,[1]Meta文库质检结果汇总表!$E$2884:$R$3538,14,0)</f>
        <v>16.764299999999999</v>
      </c>
      <c r="I98" s="18">
        <f>VLOOKUP(G98,[1]Meta文库质检结果汇总表!$E$2355:$Q$3538,13,0)</f>
        <v>664</v>
      </c>
      <c r="J98" s="4" t="str">
        <f>VLOOKUP(G98,[1]Meta文库质检结果汇总表!$E$1936:$O$3538,11,0)</f>
        <v>QSEP 100</v>
      </c>
    </row>
    <row r="99" spans="1:10" x14ac:dyDescent="0.15">
      <c r="A99" s="4" t="s">
        <v>45</v>
      </c>
      <c r="B99" s="13" t="s">
        <v>141</v>
      </c>
      <c r="C99" s="16" t="s">
        <v>25</v>
      </c>
      <c r="D99" s="8">
        <v>6.5000000000000002E-2</v>
      </c>
      <c r="E99" s="4" t="s">
        <v>9</v>
      </c>
      <c r="F99" s="4" t="s">
        <v>430</v>
      </c>
      <c r="G99" s="9" t="s">
        <v>334</v>
      </c>
      <c r="H99" s="8">
        <f>VLOOKUP(G99,[1]Meta文库质检结果汇总表!$E$2884:$R$3538,14,0)</f>
        <v>18.843299999999999</v>
      </c>
      <c r="I99" s="18">
        <f>VLOOKUP(G99,[1]Meta文库质检结果汇总表!$E$2355:$Q$3538,13,0)</f>
        <v>649</v>
      </c>
      <c r="J99" s="4" t="str">
        <f>VLOOKUP(G99,[1]Meta文库质检结果汇总表!$E$1936:$O$3538,11,0)</f>
        <v>QSEP 100</v>
      </c>
    </row>
    <row r="100" spans="1:10" x14ac:dyDescent="0.15">
      <c r="A100" s="4" t="s">
        <v>45</v>
      </c>
      <c r="B100" s="13" t="s">
        <v>142</v>
      </c>
      <c r="C100" s="16" t="s">
        <v>25</v>
      </c>
      <c r="D100" s="8">
        <v>6.5000000000000002E-2</v>
      </c>
      <c r="E100" s="4" t="s">
        <v>10</v>
      </c>
      <c r="F100" s="4" t="s">
        <v>430</v>
      </c>
      <c r="G100" s="9" t="s">
        <v>335</v>
      </c>
      <c r="H100" s="8">
        <f>VLOOKUP(G100,[1]Meta文库质检结果汇总表!$E$2884:$R$3538,14,0)</f>
        <v>25.137</v>
      </c>
      <c r="I100" s="18">
        <f>VLOOKUP(G100,[1]Meta文库质检结果汇总表!$E$2355:$Q$3538,13,0)</f>
        <v>612</v>
      </c>
      <c r="J100" s="4" t="str">
        <f>VLOOKUP(G100,[1]Meta文库质检结果汇总表!$E$1936:$O$3538,11,0)</f>
        <v>QSEP 100</v>
      </c>
    </row>
    <row r="101" spans="1:10" x14ac:dyDescent="0.15">
      <c r="A101" s="4" t="s">
        <v>45</v>
      </c>
      <c r="B101" s="13" t="s">
        <v>143</v>
      </c>
      <c r="C101" s="16" t="s">
        <v>25</v>
      </c>
      <c r="D101" s="8">
        <v>6.5000000000000002E-2</v>
      </c>
      <c r="E101" s="4" t="s">
        <v>11</v>
      </c>
      <c r="F101" s="4" t="s">
        <v>430</v>
      </c>
      <c r="G101" s="9" t="s">
        <v>336</v>
      </c>
      <c r="H101" s="8">
        <f>VLOOKUP(G101,[1]Meta文库质检结果汇总表!$E$2884:$R$3538,14,0)</f>
        <v>24.003</v>
      </c>
      <c r="I101" s="18">
        <f>VLOOKUP(G101,[1]Meta文库质检结果汇总表!$E$2355:$Q$3538,13,0)</f>
        <v>616</v>
      </c>
      <c r="J101" s="4" t="str">
        <f>VLOOKUP(G101,[1]Meta文库质检结果汇总表!$E$1936:$O$3538,11,0)</f>
        <v>QSEP 100</v>
      </c>
    </row>
    <row r="102" spans="1:10" x14ac:dyDescent="0.15">
      <c r="A102" s="4" t="s">
        <v>45</v>
      </c>
      <c r="B102" s="13" t="s">
        <v>144</v>
      </c>
      <c r="C102" s="16" t="s">
        <v>25</v>
      </c>
      <c r="D102" s="8">
        <v>6.5000000000000002E-2</v>
      </c>
      <c r="E102" s="4" t="s">
        <v>12</v>
      </c>
      <c r="F102" s="4" t="s">
        <v>430</v>
      </c>
      <c r="G102" s="9" t="s">
        <v>337</v>
      </c>
      <c r="H102" s="8">
        <f>VLOOKUP(G102,[1]Meta文库质检结果汇总表!$E$2884:$R$3538,14,0)</f>
        <v>19.750499999999999</v>
      </c>
      <c r="I102" s="18">
        <f>VLOOKUP(G102,[1]Meta文库质检结果汇总表!$E$2355:$Q$3538,13,0)</f>
        <v>647</v>
      </c>
      <c r="J102" s="4" t="str">
        <f>VLOOKUP(G102,[1]Meta文库质检结果汇总表!$E$1936:$O$3538,11,0)</f>
        <v>QSEP 100</v>
      </c>
    </row>
    <row r="103" spans="1:10" x14ac:dyDescent="0.15">
      <c r="A103" s="4" t="s">
        <v>45</v>
      </c>
      <c r="B103" s="13" t="s">
        <v>145</v>
      </c>
      <c r="C103" s="16" t="s">
        <v>25</v>
      </c>
      <c r="D103" s="8">
        <v>6.5000000000000002E-2</v>
      </c>
      <c r="E103" s="4" t="s">
        <v>13</v>
      </c>
      <c r="F103" s="4" t="s">
        <v>430</v>
      </c>
      <c r="G103" s="9" t="s">
        <v>338</v>
      </c>
      <c r="H103" s="8">
        <f>VLOOKUP(G103,[1]Meta文库质检结果汇总表!$E$2884:$R$3538,14,0)</f>
        <v>19.296900000000001</v>
      </c>
      <c r="I103" s="18">
        <f>VLOOKUP(G103,[1]Meta文库质检结果汇总表!$E$2355:$Q$3538,13,0)</f>
        <v>629</v>
      </c>
      <c r="J103" s="4" t="str">
        <f>VLOOKUP(G103,[1]Meta文库质检结果汇总表!$E$1936:$O$3538,11,0)</f>
        <v>QSEP 100</v>
      </c>
    </row>
    <row r="104" spans="1:10" x14ac:dyDescent="0.15">
      <c r="A104" s="4" t="s">
        <v>45</v>
      </c>
      <c r="B104" s="13" t="s">
        <v>146</v>
      </c>
      <c r="C104" s="16" t="s">
        <v>25</v>
      </c>
      <c r="D104" s="8">
        <v>6.5000000000000002E-2</v>
      </c>
      <c r="E104" s="4" t="s">
        <v>14</v>
      </c>
      <c r="F104" s="4" t="s">
        <v>430</v>
      </c>
      <c r="G104" s="9" t="s">
        <v>339</v>
      </c>
      <c r="H104" s="8">
        <f>VLOOKUP(G104,[1]Meta文库质检结果汇总表!$E$2884:$R$3538,14,0)</f>
        <v>22.3965</v>
      </c>
      <c r="I104" s="18">
        <f>VLOOKUP(G104,[1]Meta文库质检结果汇总表!$E$2355:$Q$3538,13,0)</f>
        <v>634</v>
      </c>
      <c r="J104" s="4" t="str">
        <f>VLOOKUP(G104,[1]Meta文库质检结果汇总表!$E$1936:$O$3538,11,0)</f>
        <v>QSEP 100</v>
      </c>
    </row>
    <row r="105" spans="1:10" x14ac:dyDescent="0.15">
      <c r="A105" s="4" t="s">
        <v>45</v>
      </c>
      <c r="B105" s="13" t="s">
        <v>147</v>
      </c>
      <c r="C105" s="16" t="s">
        <v>25</v>
      </c>
      <c r="D105" s="8">
        <v>6.5000000000000002E-2</v>
      </c>
      <c r="E105" s="4" t="s">
        <v>15</v>
      </c>
      <c r="F105" s="4" t="s">
        <v>430</v>
      </c>
      <c r="G105" s="9" t="s">
        <v>340</v>
      </c>
      <c r="H105" s="8">
        <f>VLOOKUP(G105,[1]Meta文库质检结果汇总表!$E$2884:$R$3538,14,0)</f>
        <v>21.6783</v>
      </c>
      <c r="I105" s="18">
        <f>VLOOKUP(G105,[1]Meta文库质检结果汇总表!$E$2355:$Q$3538,13,0)</f>
        <v>653</v>
      </c>
      <c r="J105" s="4" t="str">
        <f>VLOOKUP(G105,[1]Meta文库质检结果汇总表!$E$1936:$O$3538,11,0)</f>
        <v>QSEP 100</v>
      </c>
    </row>
    <row r="106" spans="1:10" x14ac:dyDescent="0.15">
      <c r="A106" s="4" t="s">
        <v>45</v>
      </c>
      <c r="B106" s="13" t="s">
        <v>148</v>
      </c>
      <c r="C106" s="16" t="s">
        <v>25</v>
      </c>
      <c r="D106" s="8">
        <v>6.5000000000000002E-2</v>
      </c>
      <c r="E106" s="4" t="s">
        <v>16</v>
      </c>
      <c r="F106" s="4" t="s">
        <v>430</v>
      </c>
      <c r="G106" s="9" t="s">
        <v>341</v>
      </c>
      <c r="H106" s="8">
        <f>VLOOKUP(G106,[1]Meta文库质检结果汇总表!$E$2884:$R$3538,14,0)</f>
        <v>22.547699999999999</v>
      </c>
      <c r="I106" s="18">
        <f>VLOOKUP(G106,[1]Meta文库质检结果汇总表!$E$2355:$Q$3538,13,0)</f>
        <v>662</v>
      </c>
      <c r="J106" s="4" t="str">
        <f>VLOOKUP(G106,[1]Meta文库质检结果汇总表!$E$1936:$O$3538,11,0)</f>
        <v>QSEP 100</v>
      </c>
    </row>
    <row r="107" spans="1:10" x14ac:dyDescent="0.15">
      <c r="A107" s="4" t="s">
        <v>45</v>
      </c>
      <c r="B107" s="13" t="s">
        <v>149</v>
      </c>
      <c r="C107" s="16" t="s">
        <v>25</v>
      </c>
      <c r="D107" s="8">
        <v>6.5000000000000002E-2</v>
      </c>
      <c r="E107" s="4" t="s">
        <v>9</v>
      </c>
      <c r="F107" s="4" t="s">
        <v>424</v>
      </c>
      <c r="G107" s="9" t="s">
        <v>342</v>
      </c>
      <c r="H107" s="8">
        <f>VLOOKUP(G107,[1]Meta文库质检结果汇总表!$E$2884:$R$3538,14,0)</f>
        <v>17.917200000000001</v>
      </c>
      <c r="I107" s="18">
        <f>VLOOKUP(G107,[1]Meta文库质检结果汇总表!$E$2355:$Q$3538,13,0)</f>
        <v>694</v>
      </c>
      <c r="J107" s="4" t="str">
        <f>VLOOKUP(G107,[1]Meta文库质检结果汇总表!$E$1936:$O$3538,11,0)</f>
        <v>QSEP 100</v>
      </c>
    </row>
    <row r="108" spans="1:10" x14ac:dyDescent="0.15">
      <c r="A108" s="4" t="s">
        <v>45</v>
      </c>
      <c r="B108" s="13" t="s">
        <v>150</v>
      </c>
      <c r="C108" s="16" t="s">
        <v>25</v>
      </c>
      <c r="D108" s="8">
        <v>6.5000000000000002E-2</v>
      </c>
      <c r="E108" s="4" t="s">
        <v>10</v>
      </c>
      <c r="F108" s="4" t="s">
        <v>424</v>
      </c>
      <c r="G108" s="9" t="s">
        <v>343</v>
      </c>
      <c r="H108" s="8">
        <f>VLOOKUP(G108,[1]Meta文库质检结果汇总表!$E$2884:$R$3538,14,0)</f>
        <v>19.9206</v>
      </c>
      <c r="I108" s="18">
        <f>VLOOKUP(G108,[1]Meta文库质检结果汇总表!$E$2355:$Q$3538,13,0)</f>
        <v>703</v>
      </c>
      <c r="J108" s="4" t="str">
        <f>VLOOKUP(G108,[1]Meta文库质检结果汇总表!$E$1936:$O$3538,11,0)</f>
        <v>QSEP 100</v>
      </c>
    </row>
    <row r="109" spans="1:10" x14ac:dyDescent="0.15">
      <c r="A109" s="4" t="s">
        <v>45</v>
      </c>
      <c r="B109" s="13" t="s">
        <v>151</v>
      </c>
      <c r="C109" s="16" t="s">
        <v>25</v>
      </c>
      <c r="D109" s="8">
        <v>6.5000000000000002E-2</v>
      </c>
      <c r="E109" s="4" t="s">
        <v>11</v>
      </c>
      <c r="F109" s="4" t="s">
        <v>424</v>
      </c>
      <c r="G109" s="9" t="s">
        <v>344</v>
      </c>
      <c r="H109" s="8">
        <f>VLOOKUP(G109,[1]Meta文库质检结果汇总表!$E$2884:$R$3538,14,0)</f>
        <v>21.262499999999999</v>
      </c>
      <c r="I109" s="18">
        <f>VLOOKUP(G109,[1]Meta文库质检结果汇总表!$E$2355:$Q$3538,13,0)</f>
        <v>656</v>
      </c>
      <c r="J109" s="4" t="str">
        <f>VLOOKUP(G109,[1]Meta文库质检结果汇总表!$E$1936:$O$3538,11,0)</f>
        <v>QSEP 100</v>
      </c>
    </row>
    <row r="110" spans="1:10" x14ac:dyDescent="0.15">
      <c r="A110" s="4" t="s">
        <v>45</v>
      </c>
      <c r="B110" s="13" t="s">
        <v>152</v>
      </c>
      <c r="C110" s="16" t="s">
        <v>25</v>
      </c>
      <c r="D110" s="8">
        <v>6.5000000000000002E-2</v>
      </c>
      <c r="E110" s="4" t="s">
        <v>12</v>
      </c>
      <c r="F110" s="4" t="s">
        <v>424</v>
      </c>
      <c r="G110" s="9" t="s">
        <v>345</v>
      </c>
      <c r="H110" s="8">
        <f>VLOOKUP(G110,[1]Meta文库质检结果汇总表!$E$2884:$R$3538,14,0)</f>
        <v>24.3432</v>
      </c>
      <c r="I110" s="18">
        <f>VLOOKUP(G110,[1]Meta文库质检结果汇总表!$E$2355:$Q$3538,13,0)</f>
        <v>638</v>
      </c>
      <c r="J110" s="4" t="str">
        <f>VLOOKUP(G110,[1]Meta文库质检结果汇总表!$E$1936:$O$3538,11,0)</f>
        <v>QSEP 100</v>
      </c>
    </row>
    <row r="111" spans="1:10" x14ac:dyDescent="0.15">
      <c r="A111" s="4" t="s">
        <v>45</v>
      </c>
      <c r="B111" s="13" t="s">
        <v>153</v>
      </c>
      <c r="C111" s="16" t="s">
        <v>25</v>
      </c>
      <c r="D111" s="8">
        <v>6.5000000000000002E-2</v>
      </c>
      <c r="E111" s="4" t="s">
        <v>13</v>
      </c>
      <c r="F111" s="4" t="s">
        <v>424</v>
      </c>
      <c r="G111" s="9" t="s">
        <v>346</v>
      </c>
      <c r="H111" s="8">
        <f>VLOOKUP(G111,[1]Meta文库质检结果汇总表!$E$2884:$R$3538,14,0)</f>
        <v>15.8949</v>
      </c>
      <c r="I111" s="18">
        <f>VLOOKUP(G111,[1]Meta文库质检结果汇总表!$E$2355:$Q$3538,13,0)</f>
        <v>654</v>
      </c>
      <c r="J111" s="4" t="str">
        <f>VLOOKUP(G111,[1]Meta文库质检结果汇总表!$E$1936:$O$3538,11,0)</f>
        <v>QSEP 100</v>
      </c>
    </row>
    <row r="112" spans="1:10" x14ac:dyDescent="0.15">
      <c r="A112" s="4" t="s">
        <v>45</v>
      </c>
      <c r="B112" s="13" t="s">
        <v>154</v>
      </c>
      <c r="C112" s="16" t="s">
        <v>25</v>
      </c>
      <c r="D112" s="8">
        <v>6.5000000000000002E-2</v>
      </c>
      <c r="E112" s="4" t="s">
        <v>14</v>
      </c>
      <c r="F112" s="4" t="s">
        <v>424</v>
      </c>
      <c r="G112" s="9" t="s">
        <v>347</v>
      </c>
      <c r="H112" s="8">
        <f>VLOOKUP(G112,[1]Meta文库质检结果汇总表!$E$2884:$R$3538,14,0)</f>
        <v>20.128499999999999</v>
      </c>
      <c r="I112" s="18">
        <f>VLOOKUP(G112,[1]Meta文库质检结果汇总表!$E$2355:$Q$3538,13,0)</f>
        <v>659</v>
      </c>
      <c r="J112" s="4" t="str">
        <f>VLOOKUP(G112,[1]Meta文库质检结果汇总表!$E$1936:$O$3538,11,0)</f>
        <v>QSEP 100</v>
      </c>
    </row>
    <row r="113" spans="1:10" x14ac:dyDescent="0.15">
      <c r="A113" s="4" t="s">
        <v>45</v>
      </c>
      <c r="B113" s="13" t="s">
        <v>155</v>
      </c>
      <c r="C113" s="16" t="s">
        <v>25</v>
      </c>
      <c r="D113" s="8">
        <v>6.5000000000000002E-2</v>
      </c>
      <c r="E113" s="4" t="s">
        <v>15</v>
      </c>
      <c r="F113" s="4" t="s">
        <v>424</v>
      </c>
      <c r="G113" s="9" t="s">
        <v>348</v>
      </c>
      <c r="H113" s="8">
        <f>VLOOKUP(G113,[1]Meta文库质检结果汇总表!$E$2884:$R$3538,14,0)</f>
        <v>21.338100000000001</v>
      </c>
      <c r="I113" s="18">
        <f>VLOOKUP(G113,[1]Meta文库质检结果汇总表!$E$2355:$Q$3538,13,0)</f>
        <v>635</v>
      </c>
      <c r="J113" s="4" t="str">
        <f>VLOOKUP(G113,[1]Meta文库质检结果汇总表!$E$1936:$O$3538,11,0)</f>
        <v>QSEP 100</v>
      </c>
    </row>
    <row r="114" spans="1:10" x14ac:dyDescent="0.15">
      <c r="A114" s="4" t="s">
        <v>45</v>
      </c>
      <c r="B114" s="13" t="s">
        <v>156</v>
      </c>
      <c r="C114" s="16" t="s">
        <v>25</v>
      </c>
      <c r="D114" s="8">
        <v>6.5000000000000002E-2</v>
      </c>
      <c r="E114" s="4" t="s">
        <v>16</v>
      </c>
      <c r="F114" s="4" t="s">
        <v>424</v>
      </c>
      <c r="G114" s="9" t="s">
        <v>349</v>
      </c>
      <c r="H114" s="8">
        <f>VLOOKUP(G114,[1]Meta文库质检结果汇总表!$E$2884:$R$3538,14,0)</f>
        <v>19.580400000000001</v>
      </c>
      <c r="I114" s="18">
        <f>VLOOKUP(G114,[1]Meta文库质检结果汇总表!$E$2355:$Q$3538,13,0)</f>
        <v>651</v>
      </c>
      <c r="J114" s="4" t="str">
        <f>VLOOKUP(G114,[1]Meta文库质检结果汇总表!$E$1936:$O$3538,11,0)</f>
        <v>QSEP 100</v>
      </c>
    </row>
    <row r="115" spans="1:10" x14ac:dyDescent="0.15">
      <c r="A115" s="4" t="s">
        <v>45</v>
      </c>
      <c r="B115" s="13" t="s">
        <v>157</v>
      </c>
      <c r="C115" s="16" t="s">
        <v>25</v>
      </c>
      <c r="D115" s="8">
        <v>6.5000000000000002E-2</v>
      </c>
      <c r="E115" s="4" t="s">
        <v>9</v>
      </c>
      <c r="F115" s="4" t="s">
        <v>413</v>
      </c>
      <c r="G115" s="9" t="s">
        <v>350</v>
      </c>
      <c r="H115" s="8">
        <f>VLOOKUP(G115,[1]Meta文库质检结果汇总表!$E$2884:$R$3538,14,0)</f>
        <v>14.742000000000001</v>
      </c>
      <c r="I115" s="18">
        <f>VLOOKUP(G115,[1]Meta文库质检结果汇总表!$E$2355:$Q$3538,13,0)</f>
        <v>665</v>
      </c>
      <c r="J115" s="4" t="str">
        <f>VLOOKUP(G115,[1]Meta文库质检结果汇总表!$E$1936:$O$3538,11,0)</f>
        <v>QSEP 100</v>
      </c>
    </row>
    <row r="116" spans="1:10" x14ac:dyDescent="0.15">
      <c r="A116" s="4" t="s">
        <v>45</v>
      </c>
      <c r="B116" s="13" t="s">
        <v>158</v>
      </c>
      <c r="C116" s="16" t="s">
        <v>25</v>
      </c>
      <c r="D116" s="8">
        <v>6.5000000000000002E-2</v>
      </c>
      <c r="E116" s="4" t="s">
        <v>10</v>
      </c>
      <c r="F116" s="4" t="s">
        <v>413</v>
      </c>
      <c r="G116" s="9" t="s">
        <v>351</v>
      </c>
      <c r="H116" s="8">
        <f>VLOOKUP(G116,[1]Meta文库质检结果汇总表!$E$2884:$R$3538,14,0)</f>
        <v>29.8431</v>
      </c>
      <c r="I116" s="18">
        <f>VLOOKUP(G116,[1]Meta文库质检结果汇总表!$E$2355:$Q$3538,13,0)</f>
        <v>608</v>
      </c>
      <c r="J116" s="4" t="str">
        <f>VLOOKUP(G116,[1]Meta文库质检结果汇总表!$E$1936:$O$3538,11,0)</f>
        <v>QSEP 100</v>
      </c>
    </row>
    <row r="117" spans="1:10" x14ac:dyDescent="0.15">
      <c r="A117" s="4" t="s">
        <v>45</v>
      </c>
      <c r="B117" s="13" t="s">
        <v>159</v>
      </c>
      <c r="C117" s="16" t="s">
        <v>25</v>
      </c>
      <c r="D117" s="8">
        <v>6.5000000000000002E-2</v>
      </c>
      <c r="E117" s="4" t="s">
        <v>11</v>
      </c>
      <c r="F117" s="4" t="s">
        <v>413</v>
      </c>
      <c r="G117" s="9" t="s">
        <v>352</v>
      </c>
      <c r="H117" s="8">
        <f>VLOOKUP(G117,[1]Meta文库质检结果汇总表!$E$2884:$R$3538,14,0)</f>
        <v>30.069900000000001</v>
      </c>
      <c r="I117" s="18">
        <f>VLOOKUP(G117,[1]Meta文库质检结果汇总表!$E$2355:$Q$3538,13,0)</f>
        <v>610</v>
      </c>
      <c r="J117" s="4" t="str">
        <f>VLOOKUP(G117,[1]Meta文库质检结果汇总表!$E$1936:$O$3538,11,0)</f>
        <v>QSEP 100</v>
      </c>
    </row>
    <row r="118" spans="1:10" x14ac:dyDescent="0.15">
      <c r="A118" s="4" t="s">
        <v>45</v>
      </c>
      <c r="B118" s="13" t="s">
        <v>160</v>
      </c>
      <c r="C118" s="16" t="s">
        <v>25</v>
      </c>
      <c r="D118" s="8">
        <v>6.5000000000000002E-2</v>
      </c>
      <c r="E118" s="4" t="s">
        <v>12</v>
      </c>
      <c r="F118" s="4" t="s">
        <v>413</v>
      </c>
      <c r="G118" s="9" t="s">
        <v>353</v>
      </c>
      <c r="H118" s="8">
        <f>VLOOKUP(G118,[1]Meta文库质检结果汇总表!$E$2884:$R$3538,14,0)</f>
        <v>39.69</v>
      </c>
      <c r="I118" s="18">
        <f>VLOOKUP(G118,[1]Meta文库质检结果汇总表!$E$2355:$Q$3538,13,0)</f>
        <v>590</v>
      </c>
      <c r="J118" s="4" t="str">
        <f>VLOOKUP(G118,[1]Meta文库质检结果汇总表!$E$1936:$O$3538,11,0)</f>
        <v>QSEP 100</v>
      </c>
    </row>
    <row r="119" spans="1:10" x14ac:dyDescent="0.15">
      <c r="A119" s="4" t="s">
        <v>45</v>
      </c>
      <c r="B119" s="13" t="s">
        <v>161</v>
      </c>
      <c r="C119" s="16" t="s">
        <v>25</v>
      </c>
      <c r="D119" s="8">
        <v>6.5000000000000002E-2</v>
      </c>
      <c r="E119" s="4" t="s">
        <v>13</v>
      </c>
      <c r="F119" s="4" t="s">
        <v>413</v>
      </c>
      <c r="G119" s="9" t="s">
        <v>354</v>
      </c>
      <c r="H119" s="8">
        <f>VLOOKUP(G119,[1]Meta文库质检结果汇总表!$E$2884:$R$3538,14,0)</f>
        <v>19.334700000000002</v>
      </c>
      <c r="I119" s="18">
        <f>VLOOKUP(G119,[1]Meta文库质检结果汇总表!$E$2355:$Q$3538,13,0)</f>
        <v>654</v>
      </c>
      <c r="J119" s="4" t="str">
        <f>VLOOKUP(G119,[1]Meta文库质检结果汇总表!$E$1936:$O$3538,11,0)</f>
        <v>QSEP 100</v>
      </c>
    </row>
    <row r="120" spans="1:10" x14ac:dyDescent="0.15">
      <c r="A120" s="4" t="s">
        <v>45</v>
      </c>
      <c r="B120" s="13" t="s">
        <v>162</v>
      </c>
      <c r="C120" s="16" t="s">
        <v>25</v>
      </c>
      <c r="D120" s="8">
        <v>6.5000000000000002E-2</v>
      </c>
      <c r="E120" s="4" t="s">
        <v>14</v>
      </c>
      <c r="F120" s="4" t="s">
        <v>413</v>
      </c>
      <c r="G120" s="9" t="s">
        <v>355</v>
      </c>
      <c r="H120" s="8">
        <f>VLOOKUP(G120,[1]Meta文库质检结果汇总表!$E$2884:$R$3538,14,0)</f>
        <v>25.722899999999999</v>
      </c>
      <c r="I120" s="18">
        <f>VLOOKUP(G120,[1]Meta文库质检结果汇总表!$E$2355:$Q$3538,13,0)</f>
        <v>658</v>
      </c>
      <c r="J120" s="4" t="str">
        <f>VLOOKUP(G120,[1]Meta文库质检结果汇总表!$E$1936:$O$3538,11,0)</f>
        <v>QSEP 100</v>
      </c>
    </row>
    <row r="121" spans="1:10" x14ac:dyDescent="0.15">
      <c r="A121" s="4" t="s">
        <v>45</v>
      </c>
      <c r="B121" s="13" t="s">
        <v>163</v>
      </c>
      <c r="C121" s="16" t="s">
        <v>25</v>
      </c>
      <c r="D121" s="8">
        <v>6.5000000000000002E-2</v>
      </c>
      <c r="E121" s="4" t="s">
        <v>15</v>
      </c>
      <c r="F121" s="4" t="s">
        <v>413</v>
      </c>
      <c r="G121" s="9" t="s">
        <v>356</v>
      </c>
      <c r="H121" s="8">
        <f>VLOOKUP(G121,[1]Meta文库质检结果汇总表!$E$2884:$R$3538,14,0)</f>
        <v>36.609299999999998</v>
      </c>
      <c r="I121" s="18">
        <f>VLOOKUP(G121,[1]Meta文库质检结果汇总表!$E$2355:$Q$3538,13,0)</f>
        <v>635</v>
      </c>
      <c r="J121" s="4" t="str">
        <f>VLOOKUP(G121,[1]Meta文库质检结果汇总表!$E$1936:$O$3538,11,0)</f>
        <v>QSEP 100</v>
      </c>
    </row>
    <row r="122" spans="1:10" x14ac:dyDescent="0.15">
      <c r="A122" s="4" t="s">
        <v>45</v>
      </c>
      <c r="B122" s="13" t="s">
        <v>164</v>
      </c>
      <c r="C122" s="16" t="s">
        <v>25</v>
      </c>
      <c r="D122" s="8">
        <v>6.5000000000000002E-2</v>
      </c>
      <c r="E122" s="4" t="s">
        <v>16</v>
      </c>
      <c r="F122" s="4" t="s">
        <v>413</v>
      </c>
      <c r="G122" s="9" t="s">
        <v>357</v>
      </c>
      <c r="H122" s="8">
        <f>VLOOKUP(G122,[1]Meta文库质检结果汇总表!$E$2884:$R$3538,14,0)</f>
        <v>46.267200000000003</v>
      </c>
      <c r="I122" s="18">
        <f>VLOOKUP(G122,[1]Meta文库质检结果汇总表!$E$2355:$Q$3538,13,0)</f>
        <v>549</v>
      </c>
      <c r="J122" s="4" t="str">
        <f>VLOOKUP(G122,[1]Meta文库质检结果汇总表!$E$1936:$O$3538,11,0)</f>
        <v>QSEP 100</v>
      </c>
    </row>
    <row r="123" spans="1:10" x14ac:dyDescent="0.15">
      <c r="A123" s="4" t="s">
        <v>45</v>
      </c>
      <c r="B123" s="13" t="s">
        <v>165</v>
      </c>
      <c r="C123" s="16" t="s">
        <v>25</v>
      </c>
      <c r="D123" s="8">
        <v>6.5000000000000002E-2</v>
      </c>
      <c r="E123" s="4" t="s">
        <v>9</v>
      </c>
      <c r="F123" s="4" t="s">
        <v>414</v>
      </c>
      <c r="G123" s="9" t="s">
        <v>358</v>
      </c>
      <c r="H123" s="8">
        <f>VLOOKUP(G123,[1]Meta文库质检结果汇总表!$E$2884:$R$3538,14,0)</f>
        <v>67.680899999999994</v>
      </c>
      <c r="I123" s="18">
        <f>VLOOKUP(G123,[1]Meta文库质检结果汇总表!$E$2355:$Q$3538,13,0)</f>
        <v>528</v>
      </c>
      <c r="J123" s="4" t="str">
        <f>VLOOKUP(G123,[1]Meta文库质检结果汇总表!$E$1936:$O$3538,11,0)</f>
        <v>QSEP 100</v>
      </c>
    </row>
    <row r="124" spans="1:10" x14ac:dyDescent="0.15">
      <c r="A124" s="4" t="s">
        <v>45</v>
      </c>
      <c r="B124" s="13" t="s">
        <v>166</v>
      </c>
      <c r="C124" s="16" t="s">
        <v>25</v>
      </c>
      <c r="D124" s="8">
        <v>6.5000000000000002E-2</v>
      </c>
      <c r="E124" s="4" t="s">
        <v>10</v>
      </c>
      <c r="F124" s="4" t="s">
        <v>414</v>
      </c>
      <c r="G124" s="9" t="s">
        <v>359</v>
      </c>
      <c r="H124" s="8">
        <f>VLOOKUP(G124,[1]Meta文库质检结果汇总表!$E$2884:$R$3538,14,0)</f>
        <v>27.839700000000001</v>
      </c>
      <c r="I124" s="18">
        <f>VLOOKUP(G124,[1]Meta文库质检结果汇总表!$E$2355:$Q$3538,13,0)</f>
        <v>628</v>
      </c>
      <c r="J124" s="4" t="str">
        <f>VLOOKUP(G124,[1]Meta文库质检结果汇总表!$E$1936:$O$3538,11,0)</f>
        <v>QSEP 100</v>
      </c>
    </row>
    <row r="125" spans="1:10" x14ac:dyDescent="0.15">
      <c r="A125" s="4" t="s">
        <v>45</v>
      </c>
      <c r="B125" s="13" t="s">
        <v>167</v>
      </c>
      <c r="C125" s="16" t="s">
        <v>25</v>
      </c>
      <c r="D125" s="8">
        <v>6.5000000000000002E-2</v>
      </c>
      <c r="E125" s="4" t="s">
        <v>11</v>
      </c>
      <c r="F125" s="4" t="s">
        <v>414</v>
      </c>
      <c r="G125" s="9" t="s">
        <v>360</v>
      </c>
      <c r="H125" s="8">
        <f>VLOOKUP(G125,[1]Meta文库质检结果汇总表!$E$2884:$R$3538,14,0)</f>
        <v>56.322000000000003</v>
      </c>
      <c r="I125" s="18">
        <f>VLOOKUP(G125,[1]Meta文库质检结果汇总表!$E$2355:$Q$3538,13,0)</f>
        <v>567</v>
      </c>
      <c r="J125" s="4" t="str">
        <f>VLOOKUP(G125,[1]Meta文库质检结果汇总表!$E$1936:$O$3538,11,0)</f>
        <v>QSEP 100</v>
      </c>
    </row>
    <row r="126" spans="1:10" x14ac:dyDescent="0.15">
      <c r="A126" s="4" t="s">
        <v>45</v>
      </c>
      <c r="B126" s="13" t="s">
        <v>168</v>
      </c>
      <c r="C126" s="16" t="s">
        <v>25</v>
      </c>
      <c r="D126" s="8">
        <v>6.5000000000000002E-2</v>
      </c>
      <c r="E126" s="4" t="s">
        <v>12</v>
      </c>
      <c r="F126" s="4" t="s">
        <v>414</v>
      </c>
      <c r="G126" s="9" t="s">
        <v>361</v>
      </c>
      <c r="H126" s="8">
        <f>VLOOKUP(G126,[1]Meta文库质检结果汇总表!$E$2884:$R$3538,14,0)</f>
        <v>51.067799999999998</v>
      </c>
      <c r="I126" s="18">
        <f>VLOOKUP(G126,[1]Meta文库质检结果汇总表!$E$2355:$Q$3538,13,0)</f>
        <v>569</v>
      </c>
      <c r="J126" s="4" t="str">
        <f>VLOOKUP(G126,[1]Meta文库质检结果汇总表!$E$1936:$O$3538,11,0)</f>
        <v>QSEP 100</v>
      </c>
    </row>
    <row r="127" spans="1:10" x14ac:dyDescent="0.15">
      <c r="A127" s="4" t="s">
        <v>45</v>
      </c>
      <c r="B127" s="13" t="s">
        <v>169</v>
      </c>
      <c r="C127" s="16" t="s">
        <v>25</v>
      </c>
      <c r="D127" s="8">
        <v>6.5000000000000002E-2</v>
      </c>
      <c r="E127" s="4" t="s">
        <v>13</v>
      </c>
      <c r="F127" s="4" t="s">
        <v>414</v>
      </c>
      <c r="G127" s="9" t="s">
        <v>362</v>
      </c>
      <c r="H127" s="8">
        <f>VLOOKUP(G127,[1]Meta文库质检结果汇总表!$E$2884:$R$3538,14,0)</f>
        <v>29.9754</v>
      </c>
      <c r="I127" s="18">
        <f>VLOOKUP(G127,[1]Meta文库质检结果汇总表!$E$2355:$Q$3538,13,0)</f>
        <v>629</v>
      </c>
      <c r="J127" s="4" t="str">
        <f>VLOOKUP(G127,[1]Meta文库质检结果汇总表!$E$1936:$O$3538,11,0)</f>
        <v>QSEP 100</v>
      </c>
    </row>
    <row r="128" spans="1:10" x14ac:dyDescent="0.15">
      <c r="A128" s="4" t="s">
        <v>45</v>
      </c>
      <c r="B128" s="13" t="s">
        <v>170</v>
      </c>
      <c r="C128" s="16" t="s">
        <v>25</v>
      </c>
      <c r="D128" s="8">
        <v>6.5000000000000002E-2</v>
      </c>
      <c r="E128" s="4" t="s">
        <v>14</v>
      </c>
      <c r="F128" s="4" t="s">
        <v>414</v>
      </c>
      <c r="G128" s="9" t="s">
        <v>363</v>
      </c>
      <c r="H128" s="8">
        <f>VLOOKUP(G128,[1]Meta文库质检结果汇总表!$E$2884:$R$3538,14,0)</f>
        <v>52.579799999999999</v>
      </c>
      <c r="I128" s="18">
        <f>VLOOKUP(G128,[1]Meta文库质检结果汇总表!$E$2355:$Q$3538,13,0)</f>
        <v>539</v>
      </c>
      <c r="J128" s="4" t="str">
        <f>VLOOKUP(G128,[1]Meta文库质检结果汇总表!$E$1936:$O$3538,11,0)</f>
        <v>QSEP 100</v>
      </c>
    </row>
    <row r="129" spans="1:10" x14ac:dyDescent="0.15">
      <c r="A129" s="4" t="s">
        <v>45</v>
      </c>
      <c r="B129" s="13" t="s">
        <v>171</v>
      </c>
      <c r="C129" s="16" t="s">
        <v>25</v>
      </c>
      <c r="D129" s="8">
        <v>6.5000000000000002E-2</v>
      </c>
      <c r="E129" s="4" t="s">
        <v>15</v>
      </c>
      <c r="F129" s="4" t="s">
        <v>414</v>
      </c>
      <c r="G129" s="9" t="s">
        <v>364</v>
      </c>
      <c r="H129" s="8">
        <f>VLOOKUP(G129,[1]Meta文库质检结果汇总表!$E$2884:$R$3538,14,0)</f>
        <v>76.072500000000005</v>
      </c>
      <c r="I129" s="18">
        <f>VLOOKUP(G129,[1]Meta文库质检结果汇总表!$E$2355:$Q$3538,13,0)</f>
        <v>555</v>
      </c>
      <c r="J129" s="4" t="str">
        <f>VLOOKUP(G129,[1]Meta文库质检结果汇总表!$E$1936:$O$3538,11,0)</f>
        <v>QSEP 100</v>
      </c>
    </row>
    <row r="130" spans="1:10" x14ac:dyDescent="0.15">
      <c r="A130" s="4" t="s">
        <v>45</v>
      </c>
      <c r="B130" s="13" t="s">
        <v>172</v>
      </c>
      <c r="C130" s="16" t="s">
        <v>25</v>
      </c>
      <c r="D130" s="8">
        <v>6.5000000000000002E-2</v>
      </c>
      <c r="E130" s="4" t="s">
        <v>16</v>
      </c>
      <c r="F130" s="4" t="s">
        <v>414</v>
      </c>
      <c r="G130" s="9" t="s">
        <v>365</v>
      </c>
      <c r="H130" s="8">
        <f>VLOOKUP(G130,[1]Meta文库质检结果汇总表!$E$2884:$R$3538,14,0)</f>
        <v>59.421599999999998</v>
      </c>
      <c r="I130" s="18">
        <f>VLOOKUP(G130,[1]Meta文库质检结果汇总表!$E$2355:$Q$3538,13,0)</f>
        <v>563</v>
      </c>
      <c r="J130" s="4" t="str">
        <f>VLOOKUP(G130,[1]Meta文库质检结果汇总表!$E$1936:$O$3538,11,0)</f>
        <v>QSEP 100</v>
      </c>
    </row>
    <row r="131" spans="1:10" x14ac:dyDescent="0.15">
      <c r="A131" s="4" t="s">
        <v>45</v>
      </c>
      <c r="B131" s="13" t="s">
        <v>173</v>
      </c>
      <c r="C131" s="16" t="s">
        <v>25</v>
      </c>
      <c r="D131" s="8">
        <v>6.5000000000000002E-2</v>
      </c>
      <c r="E131" s="4" t="s">
        <v>9</v>
      </c>
      <c r="F131" s="4" t="s">
        <v>415</v>
      </c>
      <c r="G131" s="9" t="s">
        <v>366</v>
      </c>
      <c r="H131" s="8">
        <f>VLOOKUP(G131,[1]Meta文库质检结果汇总表!$E$2884:$R$3538,14,0)</f>
        <v>29.106000000000002</v>
      </c>
      <c r="I131" s="18">
        <f>VLOOKUP(G131,[1]Meta文库质检结果汇总表!$E$2355:$Q$3538,13,0)</f>
        <v>589</v>
      </c>
      <c r="J131" s="4" t="str">
        <f>VLOOKUP(G131,[1]Meta文库质检结果汇总表!$E$1936:$O$3538,11,0)</f>
        <v>QSEP 100</v>
      </c>
    </row>
    <row r="132" spans="1:10" x14ac:dyDescent="0.15">
      <c r="A132" s="4" t="s">
        <v>45</v>
      </c>
      <c r="B132" s="13" t="s">
        <v>174</v>
      </c>
      <c r="C132" s="16" t="s">
        <v>25</v>
      </c>
      <c r="D132" s="8">
        <v>6.5000000000000002E-2</v>
      </c>
      <c r="E132" s="4" t="s">
        <v>10</v>
      </c>
      <c r="F132" s="4" t="s">
        <v>415</v>
      </c>
      <c r="G132" s="9" t="s">
        <v>367</v>
      </c>
      <c r="H132" s="8">
        <f>VLOOKUP(G132,[1]Meta文库质检结果汇总表!$E$2884:$R$3538,14,0)</f>
        <v>22.869</v>
      </c>
      <c r="I132" s="18">
        <f>VLOOKUP(G132,[1]Meta文库质检结果汇总表!$E$2355:$Q$3538,13,0)</f>
        <v>641</v>
      </c>
      <c r="J132" s="4" t="str">
        <f>VLOOKUP(G132,[1]Meta文库质检结果汇总表!$E$1936:$O$3538,11,0)</f>
        <v>QSEP 100</v>
      </c>
    </row>
    <row r="133" spans="1:10" x14ac:dyDescent="0.15">
      <c r="A133" s="4" t="s">
        <v>45</v>
      </c>
      <c r="B133" s="13" t="s">
        <v>175</v>
      </c>
      <c r="C133" s="16" t="s">
        <v>25</v>
      </c>
      <c r="D133" s="8">
        <v>6.5000000000000002E-2</v>
      </c>
      <c r="E133" s="4" t="s">
        <v>11</v>
      </c>
      <c r="F133" s="4" t="s">
        <v>415</v>
      </c>
      <c r="G133" s="9" t="s">
        <v>368</v>
      </c>
      <c r="H133" s="8">
        <f>VLOOKUP(G133,[1]Meta文库质检结果汇总表!$E$2884:$R$3538,14,0)</f>
        <v>29.1249</v>
      </c>
      <c r="I133" s="18">
        <f>VLOOKUP(G133,[1]Meta文库质检结果汇总表!$E$2355:$Q$3538,13,0)</f>
        <v>638</v>
      </c>
      <c r="J133" s="4" t="str">
        <f>VLOOKUP(G133,[1]Meta文库质检结果汇总表!$E$1936:$O$3538,11,0)</f>
        <v>QSEP 100</v>
      </c>
    </row>
    <row r="134" spans="1:10" x14ac:dyDescent="0.15">
      <c r="A134" s="4" t="s">
        <v>45</v>
      </c>
      <c r="B134" s="13" t="s">
        <v>176</v>
      </c>
      <c r="C134" s="16" t="s">
        <v>25</v>
      </c>
      <c r="D134" s="8">
        <v>6.5000000000000002E-2</v>
      </c>
      <c r="E134" s="4" t="s">
        <v>12</v>
      </c>
      <c r="F134" s="4" t="s">
        <v>415</v>
      </c>
      <c r="G134" s="9" t="s">
        <v>369</v>
      </c>
      <c r="H134" s="8">
        <f>VLOOKUP(G134,[1]Meta文库质检结果汇总表!$E$2884:$R$3538,14,0)</f>
        <v>41.069699999999997</v>
      </c>
      <c r="I134" s="18">
        <f>VLOOKUP(G134,[1]Meta文库质检结果汇总表!$E$2355:$Q$3538,13,0)</f>
        <v>626</v>
      </c>
      <c r="J134" s="4" t="str">
        <f>VLOOKUP(G134,[1]Meta文库质检结果汇总表!$E$1936:$O$3538,11,0)</f>
        <v>QSEP 100</v>
      </c>
    </row>
    <row r="135" spans="1:10" x14ac:dyDescent="0.15">
      <c r="A135" s="4" t="s">
        <v>45</v>
      </c>
      <c r="B135" s="13" t="s">
        <v>177</v>
      </c>
      <c r="C135" s="16" t="s">
        <v>25</v>
      </c>
      <c r="D135" s="8">
        <v>6.5000000000000002E-2</v>
      </c>
      <c r="E135" s="4" t="s">
        <v>13</v>
      </c>
      <c r="F135" s="4" t="s">
        <v>415</v>
      </c>
      <c r="G135" s="9" t="s">
        <v>370</v>
      </c>
      <c r="H135" s="8">
        <f>VLOOKUP(G135,[1]Meta文库质检结果汇总表!$E$2884:$R$3538,14,0)</f>
        <v>39.538800000000002</v>
      </c>
      <c r="I135" s="18">
        <f>VLOOKUP(G135,[1]Meta文库质检结果汇总表!$E$2355:$Q$3538,13,0)</f>
        <v>606</v>
      </c>
      <c r="J135" s="4" t="str">
        <f>VLOOKUP(G135,[1]Meta文库质检结果汇总表!$E$1936:$O$3538,11,0)</f>
        <v>QSEP 100</v>
      </c>
    </row>
    <row r="136" spans="1:10" x14ac:dyDescent="0.15">
      <c r="A136" s="4" t="s">
        <v>45</v>
      </c>
      <c r="B136" s="13" t="s">
        <v>178</v>
      </c>
      <c r="C136" s="16" t="s">
        <v>25</v>
      </c>
      <c r="D136" s="8">
        <v>6.5000000000000002E-2</v>
      </c>
      <c r="E136" s="4" t="s">
        <v>14</v>
      </c>
      <c r="F136" s="4" t="s">
        <v>415</v>
      </c>
      <c r="G136" s="9" t="s">
        <v>371</v>
      </c>
      <c r="H136" s="8">
        <f>VLOOKUP(G136,[1]Meta文库质检结果汇总表!$E$2884:$R$3538,14,0)</f>
        <v>36.590400000000002</v>
      </c>
      <c r="I136" s="18">
        <f>VLOOKUP(G136,[1]Meta文库质检结果汇总表!$E$2355:$Q$3538,13,0)</f>
        <v>623</v>
      </c>
      <c r="J136" s="4" t="str">
        <f>VLOOKUP(G136,[1]Meta文库质检结果汇总表!$E$1936:$O$3538,11,0)</f>
        <v>QSEP 100</v>
      </c>
    </row>
    <row r="137" spans="1:10" x14ac:dyDescent="0.15">
      <c r="A137" s="4" t="s">
        <v>45</v>
      </c>
      <c r="B137" s="13" t="s">
        <v>179</v>
      </c>
      <c r="C137" s="16" t="s">
        <v>25</v>
      </c>
      <c r="D137" s="8">
        <v>6.5000000000000002E-2</v>
      </c>
      <c r="E137" s="4" t="s">
        <v>15</v>
      </c>
      <c r="F137" s="4" t="s">
        <v>415</v>
      </c>
      <c r="G137" s="9" t="s">
        <v>372</v>
      </c>
      <c r="H137" s="8">
        <f>VLOOKUP(G137,[1]Meta文库质检结果汇总表!$E$2884:$R$3538,14,0)</f>
        <v>98.0154</v>
      </c>
      <c r="I137" s="18">
        <f>VLOOKUP(G137,[1]Meta文库质检结果汇总表!$E$2355:$Q$3538,13,0)</f>
        <v>529</v>
      </c>
      <c r="J137" s="4" t="str">
        <f>VLOOKUP(G137,[1]Meta文库质检结果汇总表!$E$1936:$O$3538,11,0)</f>
        <v>QSEP 100</v>
      </c>
    </row>
    <row r="138" spans="1:10" x14ac:dyDescent="0.15">
      <c r="A138" s="4" t="s">
        <v>45</v>
      </c>
      <c r="B138" s="13" t="s">
        <v>180</v>
      </c>
      <c r="C138" s="16" t="s">
        <v>25</v>
      </c>
      <c r="D138" s="8">
        <v>6.5000000000000002E-2</v>
      </c>
      <c r="E138" s="4" t="s">
        <v>16</v>
      </c>
      <c r="F138" s="4" t="s">
        <v>415</v>
      </c>
      <c r="G138" s="9" t="s">
        <v>373</v>
      </c>
      <c r="H138" s="8">
        <f>VLOOKUP(G138,[1]Meta文库质检结果汇总表!$E$2884:$R$3538,14,0)</f>
        <v>109.242</v>
      </c>
      <c r="I138" s="18">
        <f>VLOOKUP(G138,[1]Meta文库质检结果汇总表!$E$2355:$Q$3538,13,0)</f>
        <v>521</v>
      </c>
      <c r="J138" s="4" t="str">
        <f>VLOOKUP(G138,[1]Meta文库质检结果汇总表!$E$1936:$O$3538,11,0)</f>
        <v>QSEP 100</v>
      </c>
    </row>
    <row r="139" spans="1:10" x14ac:dyDescent="0.15">
      <c r="A139" s="4" t="s">
        <v>45</v>
      </c>
      <c r="B139" s="13" t="s">
        <v>181</v>
      </c>
      <c r="C139" s="16" t="s">
        <v>25</v>
      </c>
      <c r="D139" s="8">
        <v>6.5000000000000002E-2</v>
      </c>
      <c r="E139" s="4" t="s">
        <v>24</v>
      </c>
      <c r="F139" s="4" t="s">
        <v>427</v>
      </c>
      <c r="G139" s="9" t="s">
        <v>374</v>
      </c>
      <c r="H139" s="8">
        <f>VLOOKUP(G139,[1]Meta文库质检结果汇总表!$E$2884:$R$3538,14,0)</f>
        <v>22.982399999999998</v>
      </c>
      <c r="I139" s="18">
        <f>VLOOKUP(G139,[1]Meta文库质检结果汇总表!$E$2355:$Q$3538,13,0)</f>
        <v>637</v>
      </c>
      <c r="J139" s="4" t="str">
        <f>VLOOKUP(G139,[1]Meta文库质检结果汇总表!$E$1936:$O$3538,11,0)</f>
        <v>QSEP 100</v>
      </c>
    </row>
    <row r="140" spans="1:10" x14ac:dyDescent="0.15">
      <c r="A140" s="4" t="s">
        <v>45</v>
      </c>
      <c r="B140" s="13" t="s">
        <v>182</v>
      </c>
      <c r="C140" s="16" t="s">
        <v>25</v>
      </c>
      <c r="D140" s="8">
        <v>6.5000000000000002E-2</v>
      </c>
      <c r="E140" s="4" t="s">
        <v>17</v>
      </c>
      <c r="F140" s="4" t="s">
        <v>427</v>
      </c>
      <c r="G140" s="9" t="s">
        <v>375</v>
      </c>
      <c r="H140" s="8">
        <f>VLOOKUP(G140,[1]Meta文库质检结果汇总表!$E$2884:$R$3538,14,0)</f>
        <v>54.772199999999998</v>
      </c>
      <c r="I140" s="18">
        <f>VLOOKUP(G140,[1]Meta文库质检结果汇总表!$E$2355:$Q$3538,13,0)</f>
        <v>538</v>
      </c>
      <c r="J140" s="4" t="str">
        <f>VLOOKUP(G140,[1]Meta文库质检结果汇总表!$E$1936:$O$3538,11,0)</f>
        <v>QSEP 100</v>
      </c>
    </row>
    <row r="141" spans="1:10" x14ac:dyDescent="0.15">
      <c r="A141" s="4" t="s">
        <v>45</v>
      </c>
      <c r="B141" s="13" t="s">
        <v>183</v>
      </c>
      <c r="C141" s="16" t="s">
        <v>25</v>
      </c>
      <c r="D141" s="8">
        <v>6.5000000000000002E-2</v>
      </c>
      <c r="E141" s="4" t="s">
        <v>18</v>
      </c>
      <c r="F141" s="4" t="s">
        <v>427</v>
      </c>
      <c r="G141" s="9" t="s">
        <v>376</v>
      </c>
      <c r="H141" s="8">
        <f>VLOOKUP(G141,[1]Meta文库质检结果汇总表!$E$2884:$R$3538,14,0)</f>
        <v>66.055499999999995</v>
      </c>
      <c r="I141" s="18">
        <f>VLOOKUP(G141,[1]Meta文库质检结果汇总表!$E$2355:$Q$3538,13,0)</f>
        <v>525</v>
      </c>
      <c r="J141" s="4" t="str">
        <f>VLOOKUP(G141,[1]Meta文库质检结果汇总表!$E$1936:$O$3538,11,0)</f>
        <v>QSEP 100</v>
      </c>
    </row>
    <row r="142" spans="1:10" x14ac:dyDescent="0.15">
      <c r="A142" s="4" t="s">
        <v>45</v>
      </c>
      <c r="B142" s="13" t="s">
        <v>184</v>
      </c>
      <c r="C142" s="16" t="s">
        <v>25</v>
      </c>
      <c r="D142" s="8">
        <v>6.5000000000000002E-2</v>
      </c>
      <c r="E142" s="4" t="s">
        <v>19</v>
      </c>
      <c r="F142" s="4" t="s">
        <v>427</v>
      </c>
      <c r="G142" s="9" t="s">
        <v>377</v>
      </c>
      <c r="H142" s="8">
        <f>VLOOKUP(G142,[1]Meta文库质检结果汇总表!$E$2884:$R$3538,14,0)</f>
        <v>51.181199999999997</v>
      </c>
      <c r="I142" s="18">
        <f>VLOOKUP(G142,[1]Meta文库质检结果汇总表!$E$2355:$Q$3538,13,0)</f>
        <v>524</v>
      </c>
      <c r="J142" s="4" t="str">
        <f>VLOOKUP(G142,[1]Meta文库质检结果汇总表!$E$1936:$O$3538,11,0)</f>
        <v>QSEP 100</v>
      </c>
    </row>
    <row r="143" spans="1:10" x14ac:dyDescent="0.15">
      <c r="A143" s="4" t="s">
        <v>45</v>
      </c>
      <c r="B143" s="13" t="s">
        <v>185</v>
      </c>
      <c r="C143" s="16" t="s">
        <v>25</v>
      </c>
      <c r="D143" s="8">
        <v>6.5000000000000002E-2</v>
      </c>
      <c r="E143" s="4" t="s">
        <v>20</v>
      </c>
      <c r="F143" s="4" t="s">
        <v>427</v>
      </c>
      <c r="G143" s="9" t="s">
        <v>378</v>
      </c>
      <c r="H143" s="8">
        <f>VLOOKUP(G143,[1]Meta文库质检结果汇总表!$E$2884:$R$3538,14,0)</f>
        <v>43.677900000000001</v>
      </c>
      <c r="I143" s="18">
        <f>VLOOKUP(G143,[1]Meta文库质检结果汇总表!$E$2355:$Q$3538,13,0)</f>
        <v>577</v>
      </c>
      <c r="J143" s="4" t="str">
        <f>VLOOKUP(G143,[1]Meta文库质检结果汇总表!$E$1936:$O$3538,11,0)</f>
        <v>QSEP 100</v>
      </c>
    </row>
    <row r="144" spans="1:10" x14ac:dyDescent="0.15">
      <c r="A144" s="4" t="s">
        <v>45</v>
      </c>
      <c r="B144" s="13" t="s">
        <v>186</v>
      </c>
      <c r="C144" s="16" t="s">
        <v>25</v>
      </c>
      <c r="D144" s="8">
        <v>6.5000000000000002E-2</v>
      </c>
      <c r="E144" s="4" t="s">
        <v>21</v>
      </c>
      <c r="F144" s="4" t="s">
        <v>427</v>
      </c>
      <c r="G144" s="9" t="s">
        <v>379</v>
      </c>
      <c r="H144" s="8">
        <f>VLOOKUP(G144,[1]Meta文库质检结果汇总表!$E$2884:$R$3538,14,0)</f>
        <v>27.537299999999998</v>
      </c>
      <c r="I144" s="18">
        <f>VLOOKUP(G144,[1]Meta文库质检结果汇总表!$E$2355:$Q$3538,13,0)</f>
        <v>644</v>
      </c>
      <c r="J144" s="4" t="str">
        <f>VLOOKUP(G144,[1]Meta文库质检结果汇总表!$E$1936:$O$3538,11,0)</f>
        <v>QSEP 100</v>
      </c>
    </row>
    <row r="145" spans="1:10" x14ac:dyDescent="0.15">
      <c r="A145" s="4" t="s">
        <v>45</v>
      </c>
      <c r="B145" s="13" t="s">
        <v>187</v>
      </c>
      <c r="C145" s="16" t="s">
        <v>25</v>
      </c>
      <c r="D145" s="8">
        <v>6.5000000000000002E-2</v>
      </c>
      <c r="E145" s="4" t="s">
        <v>22</v>
      </c>
      <c r="F145" s="4" t="s">
        <v>427</v>
      </c>
      <c r="G145" s="9" t="s">
        <v>380</v>
      </c>
      <c r="H145" s="8">
        <f>VLOOKUP(G145,[1]Meta文库质检结果汇总表!$E$2884:$R$3538,14,0)</f>
        <v>23.190300000000001</v>
      </c>
      <c r="I145" s="18">
        <f>VLOOKUP(G145,[1]Meta文库质检结果汇总表!$E$2355:$Q$3538,13,0)</f>
        <v>662</v>
      </c>
      <c r="J145" s="4" t="str">
        <f>VLOOKUP(G145,[1]Meta文库质检结果汇总表!$E$1936:$O$3538,11,0)</f>
        <v>QSEP 100</v>
      </c>
    </row>
    <row r="146" spans="1:10" x14ac:dyDescent="0.15">
      <c r="A146" s="4" t="s">
        <v>45</v>
      </c>
      <c r="B146" s="13" t="s">
        <v>188</v>
      </c>
      <c r="C146" s="16" t="s">
        <v>25</v>
      </c>
      <c r="D146" s="8">
        <v>6.5000000000000002E-2</v>
      </c>
      <c r="E146" s="4" t="s">
        <v>23</v>
      </c>
      <c r="F146" s="4" t="s">
        <v>427</v>
      </c>
      <c r="G146" s="9" t="s">
        <v>381</v>
      </c>
      <c r="H146" s="8">
        <f>VLOOKUP(G146,[1]Meta文库质检结果汇总表!$E$2884:$R$3538,14,0)</f>
        <v>20.8278</v>
      </c>
      <c r="I146" s="18">
        <f>VLOOKUP(G146,[1]Meta文库质检结果汇总表!$E$2355:$Q$3538,13,0)</f>
        <v>653</v>
      </c>
      <c r="J146" s="4" t="str">
        <f>VLOOKUP(G146,[1]Meta文库质检结果汇总表!$E$1936:$O$3538,11,0)</f>
        <v>QSEP 100</v>
      </c>
    </row>
    <row r="147" spans="1:10" x14ac:dyDescent="0.15">
      <c r="A147" s="4" t="s">
        <v>45</v>
      </c>
      <c r="B147" s="13" t="s">
        <v>189</v>
      </c>
      <c r="C147" s="16" t="s">
        <v>25</v>
      </c>
      <c r="D147" s="8">
        <v>6.5000000000000002E-2</v>
      </c>
      <c r="E147" s="4" t="s">
        <v>24</v>
      </c>
      <c r="F147" s="4" t="s">
        <v>428</v>
      </c>
      <c r="G147" s="9" t="s">
        <v>382</v>
      </c>
      <c r="H147" s="8">
        <f>VLOOKUP(G147,[1]Meta文库质检结果汇总表!$E$2884:$R$3538,14,0)</f>
        <v>31.7331</v>
      </c>
      <c r="I147" s="18">
        <f>VLOOKUP(G147,[1]Meta文库质检结果汇总表!$E$2355:$Q$3538,13,0)</f>
        <v>635</v>
      </c>
      <c r="J147" s="4" t="str">
        <f>VLOOKUP(G147,[1]Meta文库质检结果汇总表!$E$1936:$O$3538,11,0)</f>
        <v>QSEP 100</v>
      </c>
    </row>
    <row r="148" spans="1:10" x14ac:dyDescent="0.15">
      <c r="A148" s="4" t="s">
        <v>45</v>
      </c>
      <c r="B148" s="13" t="s">
        <v>190</v>
      </c>
      <c r="C148" s="16" t="s">
        <v>25</v>
      </c>
      <c r="D148" s="8">
        <v>6.5000000000000002E-2</v>
      </c>
      <c r="E148" s="4" t="s">
        <v>17</v>
      </c>
      <c r="F148" s="4" t="s">
        <v>428</v>
      </c>
      <c r="G148" s="9" t="s">
        <v>383</v>
      </c>
      <c r="H148" s="8">
        <f>VLOOKUP(G148,[1]Meta文库质检结果汇总表!$E$2884:$R$3538,14,0)</f>
        <v>40.6539</v>
      </c>
      <c r="I148" s="18">
        <f>VLOOKUP(G148,[1]Meta文库质检结果汇总表!$E$2355:$Q$3538,13,0)</f>
        <v>620</v>
      </c>
      <c r="J148" s="4" t="str">
        <f>VLOOKUP(G148,[1]Meta文库质检结果汇总表!$E$1936:$O$3538,11,0)</f>
        <v>QSEP 100</v>
      </c>
    </row>
    <row r="149" spans="1:10" x14ac:dyDescent="0.15">
      <c r="A149" s="4" t="s">
        <v>45</v>
      </c>
      <c r="B149" s="13" t="s">
        <v>191</v>
      </c>
      <c r="C149" s="16" t="s">
        <v>25</v>
      </c>
      <c r="D149" s="8">
        <v>6.5000000000000002E-2</v>
      </c>
      <c r="E149" s="4" t="s">
        <v>18</v>
      </c>
      <c r="F149" s="4" t="s">
        <v>428</v>
      </c>
      <c r="G149" s="9" t="s">
        <v>384</v>
      </c>
      <c r="H149" s="8">
        <f>VLOOKUP(G149,[1]Meta文库质检结果汇总表!$E$2884:$R$3538,14,0)</f>
        <v>19.485900000000001</v>
      </c>
      <c r="I149" s="18">
        <f>VLOOKUP(G149,[1]Meta文库质检结果汇总表!$E$2355:$Q$3538,13,0)</f>
        <v>674</v>
      </c>
      <c r="J149" s="4" t="str">
        <f>VLOOKUP(G149,[1]Meta文库质检结果汇总表!$E$1936:$O$3538,11,0)</f>
        <v>QSEP 100</v>
      </c>
    </row>
    <row r="150" spans="1:10" x14ac:dyDescent="0.15">
      <c r="A150" s="4" t="s">
        <v>45</v>
      </c>
      <c r="B150" s="13" t="s">
        <v>192</v>
      </c>
      <c r="C150" s="16" t="s">
        <v>25</v>
      </c>
      <c r="D150" s="8">
        <v>6.5000000000000002E-2</v>
      </c>
      <c r="E150" s="4" t="s">
        <v>19</v>
      </c>
      <c r="F150" s="4" t="s">
        <v>428</v>
      </c>
      <c r="G150" s="9" t="s">
        <v>385</v>
      </c>
      <c r="H150" s="8">
        <f>VLOOKUP(G150,[1]Meta文库质检结果汇总表!$E$2884:$R$3538,14,0)</f>
        <v>14.0238</v>
      </c>
      <c r="I150" s="18">
        <f>VLOOKUP(G150,[1]Meta文库质检结果汇总表!$E$2355:$Q$3538,13,0)</f>
        <v>674</v>
      </c>
      <c r="J150" s="4" t="str">
        <f>VLOOKUP(G150,[1]Meta文库质检结果汇总表!$E$1936:$O$3538,11,0)</f>
        <v>QSEP 100</v>
      </c>
    </row>
    <row r="151" spans="1:10" x14ac:dyDescent="0.15">
      <c r="A151" s="4" t="s">
        <v>45</v>
      </c>
      <c r="B151" s="13" t="s">
        <v>193</v>
      </c>
      <c r="C151" s="16" t="s">
        <v>25</v>
      </c>
      <c r="D151" s="8">
        <v>6.5000000000000002E-2</v>
      </c>
      <c r="E151" s="4" t="s">
        <v>20</v>
      </c>
      <c r="F151" s="4" t="s">
        <v>428</v>
      </c>
      <c r="G151" s="9" t="s">
        <v>386</v>
      </c>
      <c r="H151" s="8">
        <f>VLOOKUP(G151,[1]Meta文库质检结果汇总表!$E$2884:$R$3538,14,0)</f>
        <v>29.5029</v>
      </c>
      <c r="I151" s="18">
        <f>VLOOKUP(G151,[1]Meta文库质检结果汇总表!$E$2355:$Q$3538,13,0)</f>
        <v>646</v>
      </c>
      <c r="J151" s="4" t="str">
        <f>VLOOKUP(G151,[1]Meta文库质检结果汇总表!$E$1936:$O$3538,11,0)</f>
        <v>QSEP 100</v>
      </c>
    </row>
    <row r="152" spans="1:10" x14ac:dyDescent="0.15">
      <c r="A152" s="4" t="s">
        <v>45</v>
      </c>
      <c r="B152" s="13" t="s">
        <v>194</v>
      </c>
      <c r="C152" s="16" t="s">
        <v>25</v>
      </c>
      <c r="D152" s="8">
        <v>6.5000000000000002E-2</v>
      </c>
      <c r="E152" s="4" t="s">
        <v>21</v>
      </c>
      <c r="F152" s="4" t="s">
        <v>428</v>
      </c>
      <c r="G152" s="9" t="s">
        <v>387</v>
      </c>
      <c r="H152" s="8">
        <f>VLOOKUP(G152,[1]Meta文库质检结果汇总表!$E$2884:$R$3538,14,0)</f>
        <v>24.929099999999998</v>
      </c>
      <c r="I152" s="18">
        <f>VLOOKUP(G152,[1]Meta文库质检结果汇总表!$E$2355:$Q$3538,13,0)</f>
        <v>658</v>
      </c>
      <c r="J152" s="4" t="str">
        <f>VLOOKUP(G152,[1]Meta文库质检结果汇总表!$E$1936:$O$3538,11,0)</f>
        <v>QSEP 100</v>
      </c>
    </row>
    <row r="153" spans="1:10" x14ac:dyDescent="0.15">
      <c r="A153" s="4" t="s">
        <v>45</v>
      </c>
      <c r="B153" s="13" t="s">
        <v>195</v>
      </c>
      <c r="C153" s="16" t="s">
        <v>25</v>
      </c>
      <c r="D153" s="8">
        <v>6.5000000000000002E-2</v>
      </c>
      <c r="E153" s="4" t="s">
        <v>22</v>
      </c>
      <c r="F153" s="4" t="s">
        <v>428</v>
      </c>
      <c r="G153" s="9" t="s">
        <v>388</v>
      </c>
      <c r="H153" s="8">
        <f>VLOOKUP(G153,[1]Meta文库质检结果汇总表!$E$2884:$R$3538,14,0)</f>
        <v>31.430700000000002</v>
      </c>
      <c r="I153" s="18">
        <f>VLOOKUP(G153,[1]Meta文库质检结果汇总表!$E$2355:$Q$3538,13,0)</f>
        <v>652</v>
      </c>
      <c r="J153" s="4" t="str">
        <f>VLOOKUP(G153,[1]Meta文库质检结果汇总表!$E$1936:$O$3538,11,0)</f>
        <v>QSEP 100</v>
      </c>
    </row>
    <row r="154" spans="1:10" x14ac:dyDescent="0.15">
      <c r="A154" s="4" t="s">
        <v>45</v>
      </c>
      <c r="B154" s="13" t="s">
        <v>196</v>
      </c>
      <c r="C154" s="16" t="s">
        <v>25</v>
      </c>
      <c r="D154" s="8">
        <v>6.5000000000000002E-2</v>
      </c>
      <c r="E154" s="4" t="s">
        <v>23</v>
      </c>
      <c r="F154" s="4" t="s">
        <v>428</v>
      </c>
      <c r="G154" s="9" t="s">
        <v>389</v>
      </c>
      <c r="H154" s="8">
        <f>VLOOKUP(G154,[1]Meta文库质检结果汇总表!$E$2884:$R$3538,14,0)</f>
        <v>12.093392</v>
      </c>
      <c r="I154" s="18">
        <f>VLOOKUP(G154,[1]Meta文库质检结果汇总表!$E$2355:$Q$3538,13,0)</f>
        <v>605</v>
      </c>
      <c r="J154" s="4" t="str">
        <f>VLOOKUP(G154,[1]Meta文库质检结果汇总表!$E$1936:$O$3538,11,0)</f>
        <v>QSEP 100</v>
      </c>
    </row>
    <row r="155" spans="1:10" x14ac:dyDescent="0.15">
      <c r="A155" s="4" t="s">
        <v>45</v>
      </c>
      <c r="B155" s="13" t="s">
        <v>197</v>
      </c>
      <c r="C155" s="16" t="s">
        <v>25</v>
      </c>
      <c r="D155" s="8">
        <v>6.5000000000000002E-2</v>
      </c>
      <c r="E155" s="4" t="s">
        <v>24</v>
      </c>
      <c r="F155" s="4" t="s">
        <v>429</v>
      </c>
      <c r="G155" s="9" t="s">
        <v>390</v>
      </c>
      <c r="H155" s="8">
        <f>VLOOKUP(G155,[1]Meta文库质检结果汇总表!$E$2884:$R$3538,14,0)</f>
        <v>11.738432</v>
      </c>
      <c r="I155" s="18">
        <f>VLOOKUP(G155,[1]Meta文库质检结果汇总表!$E$2355:$Q$3538,13,0)</f>
        <v>644</v>
      </c>
      <c r="J155" s="4" t="str">
        <f>VLOOKUP(G155,[1]Meta文库质检结果汇总表!$E$1936:$O$3538,11,0)</f>
        <v>QSEP 100</v>
      </c>
    </row>
    <row r="156" spans="1:10" x14ac:dyDescent="0.15">
      <c r="A156" s="4" t="s">
        <v>45</v>
      </c>
      <c r="B156" s="13" t="s">
        <v>198</v>
      </c>
      <c r="C156" s="16" t="s">
        <v>25</v>
      </c>
      <c r="D156" s="8">
        <v>6.5000000000000002E-2</v>
      </c>
      <c r="E156" s="4" t="s">
        <v>17</v>
      </c>
      <c r="F156" s="4" t="s">
        <v>429</v>
      </c>
      <c r="G156" s="9" t="s">
        <v>391</v>
      </c>
      <c r="H156" s="8">
        <f>VLOOKUP(G156,[1]Meta文库质检结果汇总表!$E$2884:$R$3538,14,0)</f>
        <v>8.6425280000000004</v>
      </c>
      <c r="I156" s="18">
        <f>VLOOKUP(G156,[1]Meta文库质检结果汇总表!$E$2355:$Q$3538,13,0)</f>
        <v>684</v>
      </c>
      <c r="J156" s="4" t="str">
        <f>VLOOKUP(G156,[1]Meta文库质检结果汇总表!$E$1936:$O$3538,11,0)</f>
        <v>QSEP 100</v>
      </c>
    </row>
    <row r="157" spans="1:10" x14ac:dyDescent="0.15">
      <c r="A157" s="4" t="s">
        <v>45</v>
      </c>
      <c r="B157" s="13" t="s">
        <v>199</v>
      </c>
      <c r="C157" s="16" t="s">
        <v>25</v>
      </c>
      <c r="D157" s="8">
        <v>6.5000000000000002E-2</v>
      </c>
      <c r="E157" s="4" t="s">
        <v>18</v>
      </c>
      <c r="F157" s="4" t="s">
        <v>429</v>
      </c>
      <c r="G157" s="9" t="s">
        <v>392</v>
      </c>
      <c r="H157" s="8">
        <f>VLOOKUP(G157,[1]Meta文库质检结果汇总表!$E$2884:$R$3538,14,0)</f>
        <v>10.424944</v>
      </c>
      <c r="I157" s="18">
        <f>VLOOKUP(G157,[1]Meta文库质检结果汇总表!$E$2355:$Q$3538,13,0)</f>
        <v>644</v>
      </c>
      <c r="J157" s="4" t="str">
        <f>VLOOKUP(G157,[1]Meta文库质检结果汇总表!$E$1936:$O$3538,11,0)</f>
        <v>QSEP 100</v>
      </c>
    </row>
    <row r="158" spans="1:10" x14ac:dyDescent="0.15">
      <c r="A158" s="4" t="s">
        <v>45</v>
      </c>
      <c r="B158" s="13" t="s">
        <v>200</v>
      </c>
      <c r="C158" s="16" t="s">
        <v>25</v>
      </c>
      <c r="D158" s="8">
        <v>6.5000000000000002E-2</v>
      </c>
      <c r="E158" s="4" t="s">
        <v>19</v>
      </c>
      <c r="F158" s="4" t="s">
        <v>429</v>
      </c>
      <c r="G158" s="9" t="s">
        <v>393</v>
      </c>
      <c r="H158" s="8">
        <f>VLOOKUP(G158,[1]Meta文库质检结果汇总表!$E$2884:$R$3538,14,0)</f>
        <v>7.470548</v>
      </c>
      <c r="I158" s="18">
        <f>VLOOKUP(G158,[1]Meta文库质检结果汇总表!$E$2355:$Q$3538,13,0)</f>
        <v>640</v>
      </c>
      <c r="J158" s="4" t="str">
        <f>VLOOKUP(G158,[1]Meta文库质检结果汇总表!$E$1936:$O$3538,11,0)</f>
        <v>QSEP 100</v>
      </c>
    </row>
    <row r="159" spans="1:10" x14ac:dyDescent="0.15">
      <c r="A159" s="4" t="s">
        <v>45</v>
      </c>
      <c r="B159" s="13" t="s">
        <v>201</v>
      </c>
      <c r="C159" s="16" t="s">
        <v>25</v>
      </c>
      <c r="D159" s="8">
        <v>6.5000000000000002E-2</v>
      </c>
      <c r="E159" s="4" t="s">
        <v>20</v>
      </c>
      <c r="F159" s="4" t="s">
        <v>429</v>
      </c>
      <c r="G159" s="9" t="s">
        <v>394</v>
      </c>
      <c r="H159" s="8">
        <f>VLOOKUP(G159,[1]Meta文库质检结果汇总表!$E$2884:$R$3538,14,0)</f>
        <v>18.2196</v>
      </c>
      <c r="I159" s="18">
        <f>VLOOKUP(G159,[1]Meta文库质检结果汇总表!$E$2355:$Q$3538,13,0)</f>
        <v>698</v>
      </c>
      <c r="J159" s="4" t="str">
        <f>VLOOKUP(G159,[1]Meta文库质检结果汇总表!$E$1936:$O$3538,11,0)</f>
        <v>QSEP 100</v>
      </c>
    </row>
    <row r="160" spans="1:10" x14ac:dyDescent="0.15">
      <c r="A160" s="4" t="s">
        <v>45</v>
      </c>
      <c r="B160" s="13" t="s">
        <v>202</v>
      </c>
      <c r="C160" s="16" t="s">
        <v>25</v>
      </c>
      <c r="D160" s="8">
        <v>6.5000000000000002E-2</v>
      </c>
      <c r="E160" s="4" t="s">
        <v>21</v>
      </c>
      <c r="F160" s="4" t="s">
        <v>429</v>
      </c>
      <c r="G160" s="9" t="s">
        <v>395</v>
      </c>
      <c r="H160" s="8">
        <f>VLOOKUP(G160,[1]Meta文库质检结果汇总表!$E$2884:$R$3538,14,0)</f>
        <v>11.0619</v>
      </c>
      <c r="I160" s="18">
        <f>VLOOKUP(G160,[1]Meta文库质检结果汇总表!$E$2355:$Q$3538,13,0)</f>
        <v>649</v>
      </c>
      <c r="J160" s="4" t="str">
        <f>VLOOKUP(G160,[1]Meta文库质检结果汇总表!$E$1936:$O$3538,11,0)</f>
        <v>QSEP 100</v>
      </c>
    </row>
    <row r="161" spans="1:10" x14ac:dyDescent="0.15">
      <c r="A161" s="4" t="s">
        <v>45</v>
      </c>
      <c r="B161" s="13" t="s">
        <v>203</v>
      </c>
      <c r="C161" s="16" t="s">
        <v>25</v>
      </c>
      <c r="D161" s="8">
        <v>6.5000000000000002E-2</v>
      </c>
      <c r="E161" s="4" t="s">
        <v>22</v>
      </c>
      <c r="F161" s="4" t="s">
        <v>429</v>
      </c>
      <c r="G161" s="9" t="s">
        <v>396</v>
      </c>
      <c r="H161" s="8">
        <f>VLOOKUP(G161,[1]Meta文库质检结果汇总表!$E$2884:$R$3538,14,0)</f>
        <v>14.858815999999999</v>
      </c>
      <c r="I161" s="18">
        <f>VLOOKUP(G161,[1]Meta文库质检结果汇总表!$E$2355:$Q$3538,13,0)</f>
        <v>649</v>
      </c>
      <c r="J161" s="4" t="str">
        <f>VLOOKUP(G161,[1]Meta文库质检结果汇总表!$E$1936:$O$3538,11,0)</f>
        <v>QSEP 100</v>
      </c>
    </row>
    <row r="162" spans="1:10" x14ac:dyDescent="0.15">
      <c r="A162" s="4" t="s">
        <v>45</v>
      </c>
      <c r="B162" s="13" t="s">
        <v>204</v>
      </c>
      <c r="C162" s="16" t="s">
        <v>25</v>
      </c>
      <c r="D162" s="8">
        <v>6.5000000000000002E-2</v>
      </c>
      <c r="E162" s="4" t="s">
        <v>23</v>
      </c>
      <c r="F162" s="4" t="s">
        <v>429</v>
      </c>
      <c r="G162" s="9" t="s">
        <v>397</v>
      </c>
      <c r="H162" s="8">
        <f>VLOOKUP(G162,[1]Meta文库质检结果汇总表!$E$2884:$R$3538,14,0)</f>
        <v>17.7471</v>
      </c>
      <c r="I162" s="18">
        <f>VLOOKUP(G162,[1]Meta文库质检结果汇总表!$E$2355:$Q$3538,13,0)</f>
        <v>719</v>
      </c>
      <c r="J162" s="4" t="str">
        <f>VLOOKUP(G162,[1]Meta文库质检结果汇总表!$E$1936:$O$3538,11,0)</f>
        <v>QSEP 100</v>
      </c>
    </row>
    <row r="163" spans="1:10" x14ac:dyDescent="0.15">
      <c r="A163" s="4" t="s">
        <v>45</v>
      </c>
      <c r="B163" s="13" t="s">
        <v>205</v>
      </c>
      <c r="C163" s="16" t="s">
        <v>25</v>
      </c>
      <c r="D163" s="8">
        <v>6.5000000000000002E-2</v>
      </c>
      <c r="E163" s="4" t="s">
        <v>24</v>
      </c>
      <c r="F163" s="4" t="s">
        <v>430</v>
      </c>
      <c r="G163" s="9" t="s">
        <v>398</v>
      </c>
      <c r="H163" s="8">
        <f>VLOOKUP(G163,[1]Meta文库质检结果汇总表!$E$2884:$R$3538,14,0)</f>
        <v>9.1373639999999998</v>
      </c>
      <c r="I163" s="18">
        <f>VLOOKUP(G163,[1]Meta文库质检结果汇总表!$E$2355:$Q$3538,13,0)</f>
        <v>653</v>
      </c>
      <c r="J163" s="4" t="str">
        <f>VLOOKUP(G163,[1]Meta文库质检结果汇总表!$E$1936:$O$3538,11,0)</f>
        <v>QSEP 100</v>
      </c>
    </row>
    <row r="164" spans="1:10" x14ac:dyDescent="0.15">
      <c r="A164" s="4" t="s">
        <v>45</v>
      </c>
      <c r="B164" s="13" t="s">
        <v>206</v>
      </c>
      <c r="C164" s="16" t="s">
        <v>25</v>
      </c>
      <c r="D164" s="8">
        <v>6.5000000000000002E-2</v>
      </c>
      <c r="E164" s="4" t="s">
        <v>17</v>
      </c>
      <c r="F164" s="4" t="s">
        <v>430</v>
      </c>
      <c r="G164" s="9" t="s">
        <v>399</v>
      </c>
      <c r="H164" s="8">
        <f>VLOOKUP(G164,[1]Meta文库质检结果汇总表!$E$2884:$R$3538,14,0)</f>
        <v>11.641871999999999</v>
      </c>
      <c r="I164" s="18">
        <f>VLOOKUP(G164,[1]Meta文库质检结果汇总表!$E$2355:$Q$3538,13,0)</f>
        <v>646</v>
      </c>
      <c r="J164" s="4" t="str">
        <f>VLOOKUP(G164,[1]Meta文库质检结果汇总表!$E$1936:$O$3538,11,0)</f>
        <v>QSEP 100</v>
      </c>
    </row>
    <row r="165" spans="1:10" x14ac:dyDescent="0.15">
      <c r="A165" s="4" t="s">
        <v>45</v>
      </c>
      <c r="B165" s="13" t="s">
        <v>207</v>
      </c>
      <c r="C165" s="16" t="s">
        <v>25</v>
      </c>
      <c r="D165" s="8">
        <v>6.5000000000000002E-2</v>
      </c>
      <c r="E165" s="4" t="s">
        <v>18</v>
      </c>
      <c r="F165" s="4" t="s">
        <v>430</v>
      </c>
      <c r="G165" s="9" t="s">
        <v>400</v>
      </c>
      <c r="H165" s="8">
        <f>VLOOKUP(G165,[1]Meta文库质检结果汇总表!$E$2884:$R$3538,14,0)</f>
        <v>15.025499999999999</v>
      </c>
      <c r="I165" s="18">
        <f>VLOOKUP(G165,[1]Meta文库质检结果汇总表!$E$2355:$Q$3538,13,0)</f>
        <v>697</v>
      </c>
      <c r="J165" s="4" t="str">
        <f>VLOOKUP(G165,[1]Meta文库质检结果汇总表!$E$1936:$O$3538,11,0)</f>
        <v>QSEP 100</v>
      </c>
    </row>
    <row r="166" spans="1:10" x14ac:dyDescent="0.15">
      <c r="A166" s="4" t="s">
        <v>45</v>
      </c>
      <c r="B166" s="13" t="s">
        <v>208</v>
      </c>
      <c r="C166" s="16" t="s">
        <v>25</v>
      </c>
      <c r="D166" s="8">
        <v>6.5000000000000002E-2</v>
      </c>
      <c r="E166" s="4" t="s">
        <v>19</v>
      </c>
      <c r="F166" s="4" t="s">
        <v>430</v>
      </c>
      <c r="G166" s="9" t="s">
        <v>401</v>
      </c>
      <c r="H166" s="8">
        <f>VLOOKUP(G166,[1]Meta文库质检结果汇总表!$E$2884:$R$3538,14,0)</f>
        <v>16.216200000000001</v>
      </c>
      <c r="I166" s="18">
        <f>VLOOKUP(G166,[1]Meta文库质检结果汇总表!$E$2355:$Q$3538,13,0)</f>
        <v>628</v>
      </c>
      <c r="J166" s="4" t="str">
        <f>VLOOKUP(G166,[1]Meta文库质检结果汇总表!$E$1936:$O$3538,11,0)</f>
        <v>QSEP 100</v>
      </c>
    </row>
    <row r="167" spans="1:10" x14ac:dyDescent="0.15">
      <c r="A167" s="4" t="s">
        <v>45</v>
      </c>
      <c r="B167" s="13" t="s">
        <v>209</v>
      </c>
      <c r="C167" s="16" t="s">
        <v>25</v>
      </c>
      <c r="D167" s="8">
        <v>6.5000000000000002E-2</v>
      </c>
      <c r="E167" s="4" t="s">
        <v>20</v>
      </c>
      <c r="F167" s="4" t="s">
        <v>430</v>
      </c>
      <c r="G167" s="9" t="s">
        <v>402</v>
      </c>
      <c r="H167" s="8">
        <f>VLOOKUP(G167,[1]Meta文库质检结果汇总表!$E$2884:$R$3538,14,0)</f>
        <v>20.941199999999998</v>
      </c>
      <c r="I167" s="18">
        <f>VLOOKUP(G167,[1]Meta文库质检结果汇总表!$E$2355:$Q$3538,13,0)</f>
        <v>631</v>
      </c>
      <c r="J167" s="4" t="str">
        <f>VLOOKUP(G167,[1]Meta文库质检结果汇总表!$E$1936:$O$3538,11,0)</f>
        <v>QSEP 100</v>
      </c>
    </row>
    <row r="168" spans="1:10" x14ac:dyDescent="0.15">
      <c r="A168" s="4" t="s">
        <v>45</v>
      </c>
      <c r="B168" s="13" t="s">
        <v>210</v>
      </c>
      <c r="C168" s="16" t="s">
        <v>25</v>
      </c>
      <c r="D168" s="8">
        <v>6.5000000000000002E-2</v>
      </c>
      <c r="E168" s="4" t="s">
        <v>21</v>
      </c>
      <c r="F168" s="4" t="s">
        <v>430</v>
      </c>
      <c r="G168" s="9" t="s">
        <v>403</v>
      </c>
      <c r="H168" s="8">
        <f>VLOOKUP(G168,[1]Meta文库质检结果汇总表!$E$2884:$R$3538,14,0)</f>
        <v>18.5031</v>
      </c>
      <c r="I168" s="18">
        <f>VLOOKUP(G168,[1]Meta文库质检结果汇总表!$E$2355:$Q$3538,13,0)</f>
        <v>630</v>
      </c>
      <c r="J168" s="4" t="str">
        <f>VLOOKUP(G168,[1]Meta文库质检结果汇总表!$E$1936:$O$3538,11,0)</f>
        <v>QSEP 100</v>
      </c>
    </row>
    <row r="169" spans="1:10" x14ac:dyDescent="0.15">
      <c r="A169" s="4" t="s">
        <v>45</v>
      </c>
      <c r="B169" s="13" t="s">
        <v>211</v>
      </c>
      <c r="C169" s="16" t="s">
        <v>25</v>
      </c>
      <c r="D169" s="8">
        <v>6.5000000000000002E-2</v>
      </c>
      <c r="E169" s="4" t="s">
        <v>22</v>
      </c>
      <c r="F169" s="4" t="s">
        <v>430</v>
      </c>
      <c r="G169" s="9" t="s">
        <v>404</v>
      </c>
      <c r="H169" s="8">
        <f>VLOOKUP(G169,[1]Meta文库质检结果汇总表!$E$2884:$R$3538,14,0)</f>
        <v>19.996200000000002</v>
      </c>
      <c r="I169" s="18">
        <f>VLOOKUP(G169,[1]Meta文库质检结果汇总表!$E$2355:$Q$3538,13,0)</f>
        <v>638</v>
      </c>
      <c r="J169" s="4" t="str">
        <f>VLOOKUP(G169,[1]Meta文库质检结果汇总表!$E$1936:$O$3538,11,0)</f>
        <v>QSEP 100</v>
      </c>
    </row>
    <row r="170" spans="1:10" x14ac:dyDescent="0.15">
      <c r="A170" s="4" t="s">
        <v>45</v>
      </c>
      <c r="B170" s="13" t="s">
        <v>212</v>
      </c>
      <c r="C170" s="16" t="s">
        <v>25</v>
      </c>
      <c r="D170" s="8">
        <v>6.5000000000000002E-2</v>
      </c>
      <c r="E170" s="4" t="s">
        <v>23</v>
      </c>
      <c r="F170" s="4" t="s">
        <v>430</v>
      </c>
      <c r="G170" s="9" t="s">
        <v>405</v>
      </c>
      <c r="H170" s="8">
        <f>VLOOKUP(G170,[1]Meta文库质检结果汇总表!$E$2884:$R$3538,14,0)</f>
        <v>26.082000000000001</v>
      </c>
      <c r="I170" s="18">
        <f>VLOOKUP(G170,[1]Meta文库质检结果汇总表!$E$2355:$Q$3538,13,0)</f>
        <v>615</v>
      </c>
      <c r="J170" s="4" t="str">
        <f>VLOOKUP(G170,[1]Meta文库质检结果汇总表!$E$1936:$O$3538,11,0)</f>
        <v>QSEP 100</v>
      </c>
    </row>
    <row r="171" spans="1:10" x14ac:dyDescent="0.15">
      <c r="A171" s="4" t="s">
        <v>45</v>
      </c>
      <c r="B171" s="13" t="s">
        <v>213</v>
      </c>
      <c r="C171" s="16" t="s">
        <v>25</v>
      </c>
      <c r="D171" s="8">
        <v>6.5000000000000002E-2</v>
      </c>
      <c r="E171" s="4" t="s">
        <v>24</v>
      </c>
      <c r="F171" s="4" t="s">
        <v>424</v>
      </c>
      <c r="G171" s="9" t="s">
        <v>406</v>
      </c>
      <c r="H171" s="8">
        <f>VLOOKUP(G171,[1]Meta文库质检结果汇总表!$E$2884:$R$3538,14,0)</f>
        <v>18.427499999999998</v>
      </c>
      <c r="I171" s="18">
        <f>VLOOKUP(G171,[1]Meta文库质检结果汇总表!$E$2355:$Q$3538,13,0)</f>
        <v>630</v>
      </c>
      <c r="J171" s="4" t="str">
        <f>VLOOKUP(G171,[1]Meta文库质检结果汇总表!$E$1936:$O$3538,11,0)</f>
        <v>QSEP 100</v>
      </c>
    </row>
    <row r="172" spans="1:10" x14ac:dyDescent="0.15">
      <c r="A172" s="4" t="s">
        <v>45</v>
      </c>
      <c r="B172" s="13" t="s">
        <v>214</v>
      </c>
      <c r="C172" s="16" t="s">
        <v>25</v>
      </c>
      <c r="D172" s="8">
        <v>6.5000000000000002E-2</v>
      </c>
      <c r="E172" s="4" t="s">
        <v>17</v>
      </c>
      <c r="F172" s="4" t="s">
        <v>424</v>
      </c>
      <c r="G172" s="9" t="s">
        <v>407</v>
      </c>
      <c r="H172" s="8">
        <f>VLOOKUP(G172,[1]Meta文库质检结果汇总表!$E$2884:$R$3538,14,0)</f>
        <v>15.875999999999999</v>
      </c>
      <c r="I172" s="18">
        <f>VLOOKUP(G172,[1]Meta文库质检结果汇总表!$E$2355:$Q$3538,13,0)</f>
        <v>629</v>
      </c>
      <c r="J172" s="4" t="str">
        <f>VLOOKUP(G172,[1]Meta文库质检结果汇总表!$E$1936:$O$3538,11,0)</f>
        <v>QSEP 100</v>
      </c>
    </row>
    <row r="173" spans="1:10" x14ac:dyDescent="0.15">
      <c r="A173" s="4" t="s">
        <v>45</v>
      </c>
      <c r="B173" s="13" t="s">
        <v>215</v>
      </c>
      <c r="C173" s="16" t="s">
        <v>25</v>
      </c>
      <c r="D173" s="8">
        <v>6.5000000000000002E-2</v>
      </c>
      <c r="E173" s="4" t="s">
        <v>18</v>
      </c>
      <c r="F173" s="4" t="s">
        <v>424</v>
      </c>
      <c r="G173" s="9" t="s">
        <v>408</v>
      </c>
      <c r="H173" s="8">
        <f>VLOOKUP(G173,[1]Meta文库质检结果汇总表!$E$2884:$R$3538,14,0)</f>
        <v>12.228300000000001</v>
      </c>
      <c r="I173" s="18">
        <f>VLOOKUP(G173,[1]Meta文库质检结果汇总表!$E$2355:$Q$3538,13,0)</f>
        <v>633</v>
      </c>
      <c r="J173" s="4" t="str">
        <f>VLOOKUP(G173,[1]Meta文库质检结果汇总表!$E$1936:$O$3538,11,0)</f>
        <v>QSEP 100</v>
      </c>
    </row>
    <row r="174" spans="1:10" s="19" customFormat="1" x14ac:dyDescent="0.15">
      <c r="A174" s="19" t="s">
        <v>45</v>
      </c>
      <c r="B174" s="20" t="s">
        <v>216</v>
      </c>
      <c r="C174" s="21" t="s">
        <v>25</v>
      </c>
      <c r="D174" s="22">
        <v>6.5000000000000002E-2</v>
      </c>
      <c r="E174" s="19" t="s">
        <v>11</v>
      </c>
      <c r="F174" s="19" t="s">
        <v>422</v>
      </c>
      <c r="G174" s="23" t="s">
        <v>409</v>
      </c>
      <c r="H174" s="22">
        <v>25.405100000000001</v>
      </c>
      <c r="I174" s="24">
        <f>VLOOKUP(G174,[1]Meta文库质检结果汇总表!$E$2355:$Q$3538,13,0)</f>
        <v>608</v>
      </c>
      <c r="J174" s="4">
        <f>VLOOKUP(G174,[1]Meta文库质检结果汇总表!$E$1936:$O$3538,11,0)</f>
        <v>0</v>
      </c>
    </row>
    <row r="175" spans="1:10" s="19" customFormat="1" x14ac:dyDescent="0.15">
      <c r="A175" s="19" t="s">
        <v>46</v>
      </c>
      <c r="B175" s="20" t="s">
        <v>217</v>
      </c>
      <c r="C175" s="21" t="s">
        <v>25</v>
      </c>
      <c r="D175" s="22">
        <v>0.05</v>
      </c>
      <c r="E175" s="19" t="s">
        <v>22</v>
      </c>
      <c r="F175" s="19" t="s">
        <v>426</v>
      </c>
      <c r="G175" s="23" t="s">
        <v>410</v>
      </c>
      <c r="H175" s="22">
        <v>36.8018</v>
      </c>
      <c r="I175" s="24">
        <v>598</v>
      </c>
      <c r="J175" s="4" t="str">
        <f>VLOOKUP(G175,[1]Meta文库质检结果汇总表!$E$1936:$O$3538,11,0)</f>
        <v>FA SS 1-6K</v>
      </c>
    </row>
    <row r="176" spans="1:10" s="19" customFormat="1" x14ac:dyDescent="0.15">
      <c r="A176" s="19" t="s">
        <v>46</v>
      </c>
      <c r="B176" s="20" t="s">
        <v>218</v>
      </c>
      <c r="C176" s="21" t="s">
        <v>25</v>
      </c>
      <c r="D176" s="22">
        <v>0.03</v>
      </c>
      <c r="E176" s="19" t="s">
        <v>20</v>
      </c>
      <c r="F176" s="19" t="s">
        <v>426</v>
      </c>
      <c r="G176" s="23" t="s">
        <v>411</v>
      </c>
      <c r="H176" s="22">
        <v>119.83619999999999</v>
      </c>
      <c r="I176" s="28">
        <v>557</v>
      </c>
      <c r="J176" s="4" t="str">
        <f>VLOOKUP(G176,[1]Meta文库质检结果汇总表!$E$1936:$O$3538,11,0)</f>
        <v>FA SS 1-6K</v>
      </c>
    </row>
  </sheetData>
  <phoneticPr fontId="2" type="noConversion"/>
  <conditionalFormatting sqref="F2:F6">
    <cfRule type="duplicateValues" dxfId="6" priority="3"/>
  </conditionalFormatting>
  <conditionalFormatting sqref="G2:G6">
    <cfRule type="duplicateValues" dxfId="5" priority="2"/>
  </conditionalFormatting>
  <conditionalFormatting sqref="F1:F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7FB5-DF43-4160-B067-B22C98C2A5D2}">
  <dimension ref="A1:BI5"/>
  <sheetViews>
    <sheetView workbookViewId="0">
      <selection activeCell="D14" sqref="D14"/>
    </sheetView>
  </sheetViews>
  <sheetFormatPr defaultRowHeight="13.5" x14ac:dyDescent="0.15"/>
  <sheetData>
    <row r="1" spans="1:61" s="6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412</v>
      </c>
      <c r="I1" s="2" t="s">
        <v>7</v>
      </c>
      <c r="J1" s="3" t="s">
        <v>432</v>
      </c>
      <c r="K1" s="3"/>
      <c r="L1" s="3"/>
      <c r="M1" s="3"/>
      <c r="N1" s="3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s="4" customFormat="1" x14ac:dyDescent="0.15">
      <c r="A2" s="7" t="s">
        <v>40</v>
      </c>
      <c r="B2" s="10" t="s">
        <v>52</v>
      </c>
      <c r="C2" s="14" t="s">
        <v>220</v>
      </c>
      <c r="D2" s="8">
        <v>0.06</v>
      </c>
      <c r="E2" s="8"/>
      <c r="F2" s="8" t="s">
        <v>229</v>
      </c>
      <c r="G2" s="8" t="s">
        <v>238</v>
      </c>
      <c r="H2" s="8"/>
      <c r="I2" s="17"/>
    </row>
    <row r="3" spans="1:61" s="4" customFormat="1" x14ac:dyDescent="0.15">
      <c r="A3" s="7" t="s">
        <v>40</v>
      </c>
      <c r="B3" s="10" t="s">
        <v>53</v>
      </c>
      <c r="C3" s="14" t="s">
        <v>220</v>
      </c>
      <c r="D3" s="8">
        <v>0.06</v>
      </c>
      <c r="E3" s="8"/>
      <c r="F3" s="8" t="s">
        <v>230</v>
      </c>
      <c r="G3" s="8" t="s">
        <v>239</v>
      </c>
      <c r="H3" s="8"/>
      <c r="I3" s="17"/>
    </row>
    <row r="4" spans="1:61" s="4" customFormat="1" x14ac:dyDescent="0.15">
      <c r="A4" s="7" t="s">
        <v>40</v>
      </c>
      <c r="B4" s="11" t="s">
        <v>54</v>
      </c>
      <c r="C4" s="15" t="s">
        <v>220</v>
      </c>
      <c r="D4" s="8">
        <v>0.06</v>
      </c>
      <c r="E4" s="9"/>
      <c r="F4" s="9" t="s">
        <v>231</v>
      </c>
      <c r="G4" s="9" t="s">
        <v>240</v>
      </c>
      <c r="H4" s="8"/>
      <c r="I4" s="18"/>
    </row>
    <row r="5" spans="1:61" s="4" customFormat="1" x14ac:dyDescent="0.15">
      <c r="A5" s="7" t="s">
        <v>40</v>
      </c>
      <c r="B5" s="12" t="s">
        <v>55</v>
      </c>
      <c r="C5" s="15" t="s">
        <v>220</v>
      </c>
      <c r="D5" s="8">
        <v>0.06</v>
      </c>
      <c r="E5" s="9"/>
      <c r="F5" s="9" t="s">
        <v>232</v>
      </c>
      <c r="G5" s="9" t="s">
        <v>241</v>
      </c>
      <c r="H5" s="8"/>
      <c r="I5" s="18"/>
    </row>
  </sheetData>
  <phoneticPr fontId="2" type="noConversion"/>
  <conditionalFormatting sqref="F2:F5">
    <cfRule type="duplicateValues" dxfId="3" priority="4"/>
  </conditionalFormatting>
  <conditionalFormatting sqref="G2:G3">
    <cfRule type="duplicateValues" dxfId="2" priority="3"/>
  </conditionalFormatting>
  <conditionalFormatting sqref="F2:F5">
    <cfRule type="duplicateValues" dxfId="1" priority="2"/>
  </conditionalFormatting>
  <conditionalFormatting sqref="F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Qsep</cp:lastModifiedBy>
  <dcterms:created xsi:type="dcterms:W3CDTF">2018-05-15T21:27:43Z</dcterms:created>
  <dcterms:modified xsi:type="dcterms:W3CDTF">2019-03-14T09:53:35Z</dcterms:modified>
</cp:coreProperties>
</file>