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\\10.10.10.11\share\实验部\测序组\测序\测序任务单\pooling任务单下达 20190314-001 Novaseq PE150-S4 3条lane外包--诺禾\"/>
    </mc:Choice>
  </mc:AlternateContent>
  <xr:revisionPtr revIDLastSave="0" documentId="13_ncr:1_{D009E73F-616E-413F-B577-EFB51830044A}" xr6:coauthVersionLast="41" xr6:coauthVersionMax="41" xr10:uidLastSave="{00000000-0000-0000-0000-000000000000}"/>
  <bookViews>
    <workbookView xWindow="-120" yWindow="-120" windowWidth="24240" windowHeight="13140" xr2:uid="{00000000-000D-0000-FFFF-FFFF00000000}"/>
  </bookViews>
  <sheets>
    <sheet name="lane2" sheetId="19" r:id="rId1"/>
    <sheet name="lane3" sheetId="18" r:id="rId2"/>
  </sheets>
  <externalReferences>
    <externalReference r:id="rId3"/>
  </externalReferences>
  <calcPr calcId="181029"/>
</workbook>
</file>

<file path=xl/calcChain.xml><?xml version="1.0" encoding="utf-8"?>
<calcChain xmlns="http://schemas.openxmlformats.org/spreadsheetml/2006/main">
  <c r="J5" i="19" l="1"/>
  <c r="I5" i="19"/>
  <c r="J4" i="19"/>
  <c r="I4" i="19"/>
  <c r="J3" i="19"/>
  <c r="I3" i="19"/>
  <c r="J2" i="19"/>
  <c r="I2" i="19"/>
  <c r="J3" i="18" l="1"/>
  <c r="J4" i="18"/>
  <c r="J5" i="18"/>
  <c r="J6" i="18"/>
  <c r="J2" i="18"/>
  <c r="I3" i="18"/>
  <c r="I4" i="18"/>
  <c r="I5" i="18"/>
  <c r="I6" i="18"/>
  <c r="I2" i="18"/>
</calcChain>
</file>

<file path=xl/sharedStrings.xml><?xml version="1.0" encoding="utf-8"?>
<sst xmlns="http://schemas.openxmlformats.org/spreadsheetml/2006/main" count="83" uniqueCount="40">
  <si>
    <t>任务单名称</t>
  </si>
  <si>
    <t>样本名称</t>
  </si>
  <si>
    <t>核酸编号</t>
  </si>
  <si>
    <t>文库类型</t>
  </si>
  <si>
    <t>pooling数据量</t>
  </si>
  <si>
    <t>Index(诺唯赞）</t>
  </si>
  <si>
    <t>Index序列</t>
  </si>
  <si>
    <t>文库号</t>
  </si>
  <si>
    <t>KC190314-003 MAKF190118011-上海脑科学与类脑研究中心10 x Genomics自建库小鼠神经组织样本测序及质控-1期9例-外来文库-测序</t>
    <phoneticPr fontId="2" type="noConversion"/>
  </si>
  <si>
    <t>10Xgenomics Chromium Single cell (10Xgenomics Chromium Single cell 3’kit)</t>
  </si>
  <si>
    <t>6 month</t>
  </si>
  <si>
    <t>CHFPE190313004</t>
  </si>
  <si>
    <t>SI-GA-F7</t>
  </si>
  <si>
    <t>12 month</t>
  </si>
  <si>
    <t>CHFPE190313005</t>
  </si>
  <si>
    <t>SI-GA-G7</t>
  </si>
  <si>
    <t>18 month</t>
  </si>
  <si>
    <t>CHFPE190313006</t>
  </si>
  <si>
    <t>SI-GA-H7</t>
  </si>
  <si>
    <t>E14</t>
  </si>
  <si>
    <t>CHFPE190313008</t>
  </si>
  <si>
    <t>SI-GA-C8</t>
  </si>
  <si>
    <t>E19</t>
  </si>
  <si>
    <t>CHFPE190313009</t>
  </si>
  <si>
    <t>SI-GA-H9</t>
  </si>
  <si>
    <t>浓度</t>
    <phoneticPr fontId="2" type="noConversion"/>
  </si>
  <si>
    <t>片段大小</t>
    <phoneticPr fontId="2" type="noConversion"/>
  </si>
  <si>
    <t>KC190314-003 MAKF190118011-上海脑科学与类脑研究中心10 x Genomics自建库小鼠神经组织样本测序及质控-1期9例-外来文库-测序</t>
  </si>
  <si>
    <t>control</t>
  </si>
  <si>
    <t>CHFPE190313001</t>
  </si>
  <si>
    <t>SI-GA-G5</t>
  </si>
  <si>
    <t>SNI-6h</t>
  </si>
  <si>
    <t>CHFPE190313002</t>
  </si>
  <si>
    <t>SI-GA-H5</t>
  </si>
  <si>
    <t>SNI-24h</t>
  </si>
  <si>
    <t>CHFPE190313003</t>
  </si>
  <si>
    <t>SI-GA-A6</t>
  </si>
  <si>
    <t>SNI2h</t>
  </si>
  <si>
    <t>CHFPE190313007</t>
  </si>
  <si>
    <t>SI-GA-B8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</si>
</sst>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3" x14ac:knownFonts="1">
    <font>
      <sz val="11"/>
      <color theme="1"/>
      <name val="宋体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23454;&#39564;&#37096;/&#27979;&#24207;&#32452;/&#25991;&#24211;&#20132;&#25509;&#34920;/MAG-DC-EPD-SQT-R03-018%20%20Pooling&amp;&#24453;&#19978;&#26426;&#25991;&#24211;&#26816;&#27979;&#32467;&#26524;&#30331;&#35760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oling"/>
      <sheetName val="上机异常"/>
    </sheetNames>
    <sheetDataSet>
      <sheetData sheetId="0">
        <row r="577">
          <cell r="E577" t="str">
            <v>CHFPE190313001</v>
          </cell>
          <cell r="L577">
            <v>426</v>
          </cell>
          <cell r="Y577">
            <v>70.685990707912111</v>
          </cell>
        </row>
        <row r="578">
          <cell r="E578" t="str">
            <v>CHFPE190313002</v>
          </cell>
          <cell r="L578">
            <v>425</v>
          </cell>
          <cell r="Y578">
            <v>123.63552279891712</v>
          </cell>
        </row>
        <row r="579">
          <cell r="E579" t="str">
            <v>CHFPE190313003</v>
          </cell>
          <cell r="L579">
            <v>436</v>
          </cell>
          <cell r="Y579">
            <v>113.18661708254731</v>
          </cell>
        </row>
        <row r="580">
          <cell r="E580" t="str">
            <v>CHFPE190313004</v>
          </cell>
          <cell r="L580">
            <v>462</v>
          </cell>
          <cell r="Y580">
            <v>85.376703647795011</v>
          </cell>
        </row>
        <row r="581">
          <cell r="E581" t="str">
            <v>CHFPE190313005</v>
          </cell>
          <cell r="L581">
            <v>450</v>
          </cell>
          <cell r="Y581">
            <v>100.106298312891</v>
          </cell>
        </row>
        <row r="582">
          <cell r="E582" t="str">
            <v>CHFPE190313006</v>
          </cell>
          <cell r="L582">
            <v>443</v>
          </cell>
          <cell r="Y582">
            <v>106.05079350746863</v>
          </cell>
        </row>
        <row r="583">
          <cell r="E583" t="str">
            <v>CHFPE190313007</v>
          </cell>
          <cell r="L583">
            <v>453</v>
          </cell>
          <cell r="Y583">
            <v>137.2578690553029</v>
          </cell>
        </row>
        <row r="584">
          <cell r="E584" t="str">
            <v>CHFPE190313008</v>
          </cell>
          <cell r="L584">
            <v>442</v>
          </cell>
          <cell r="Y584">
            <v>130.88788362038571</v>
          </cell>
        </row>
        <row r="585">
          <cell r="E585" t="str">
            <v>CHFPE190313009</v>
          </cell>
          <cell r="L585">
            <v>438</v>
          </cell>
          <cell r="Y585">
            <v>104.34690831915427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E9D89-DFF9-4FD7-9DFB-2CC4794A7826}">
  <dimension ref="A1:J5"/>
  <sheetViews>
    <sheetView tabSelected="1" workbookViewId="0">
      <selection activeCell="J19" sqref="J19"/>
    </sheetView>
  </sheetViews>
  <sheetFormatPr defaultRowHeight="13.5" x14ac:dyDescent="0.15"/>
  <sheetData>
    <row r="1" spans="1:10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25</v>
      </c>
      <c r="J1" s="2" t="s">
        <v>26</v>
      </c>
    </row>
    <row r="2" spans="1:10" x14ac:dyDescent="0.15">
      <c r="A2" s="1" t="s">
        <v>27</v>
      </c>
      <c r="B2" s="1" t="s">
        <v>28</v>
      </c>
      <c r="C2" s="1" t="s">
        <v>29</v>
      </c>
      <c r="D2" s="1" t="s">
        <v>9</v>
      </c>
      <c r="E2" s="1">
        <v>200</v>
      </c>
      <c r="F2" s="1" t="s">
        <v>30</v>
      </c>
      <c r="G2" s="1" t="s">
        <v>30</v>
      </c>
      <c r="H2" s="1" t="s">
        <v>29</v>
      </c>
      <c r="I2" s="1">
        <f>VLOOKUP(H2,[1]pooling!$E$577:$Y$585,21,0)</f>
        <v>70.685990707912111</v>
      </c>
      <c r="J2" s="1">
        <f>VLOOKUP(H2,[1]pooling!$E$577:$L$585,8,0)</f>
        <v>426</v>
      </c>
    </row>
    <row r="3" spans="1:10" x14ac:dyDescent="0.15">
      <c r="A3" s="1" t="s">
        <v>27</v>
      </c>
      <c r="B3" s="1" t="s">
        <v>31</v>
      </c>
      <c r="C3" s="1" t="s">
        <v>32</v>
      </c>
      <c r="D3" s="1" t="s">
        <v>9</v>
      </c>
      <c r="E3" s="1">
        <v>200</v>
      </c>
      <c r="F3" s="1" t="s">
        <v>33</v>
      </c>
      <c r="G3" s="1" t="s">
        <v>33</v>
      </c>
      <c r="H3" s="1" t="s">
        <v>32</v>
      </c>
      <c r="I3" s="1">
        <f>VLOOKUP(H3,[1]pooling!$E$577:$Y$585,21,0)</f>
        <v>123.63552279891712</v>
      </c>
      <c r="J3" s="1">
        <f>VLOOKUP(H3,[1]pooling!$E$577:$L$585,8,0)</f>
        <v>425</v>
      </c>
    </row>
    <row r="4" spans="1:10" x14ac:dyDescent="0.15">
      <c r="A4" s="1" t="s">
        <v>27</v>
      </c>
      <c r="B4" s="1" t="s">
        <v>34</v>
      </c>
      <c r="C4" s="1" t="s">
        <v>35</v>
      </c>
      <c r="D4" s="1" t="s">
        <v>9</v>
      </c>
      <c r="E4" s="1">
        <v>200</v>
      </c>
      <c r="F4" s="1" t="s">
        <v>36</v>
      </c>
      <c r="G4" s="1" t="s">
        <v>36</v>
      </c>
      <c r="H4" s="1" t="s">
        <v>35</v>
      </c>
      <c r="I4" s="1">
        <f>VLOOKUP(H4,[1]pooling!$E$577:$Y$585,21,0)</f>
        <v>113.18661708254731</v>
      </c>
      <c r="J4" s="1">
        <f>VLOOKUP(H4,[1]pooling!$E$577:$L$585,8,0)</f>
        <v>436</v>
      </c>
    </row>
    <row r="5" spans="1:10" x14ac:dyDescent="0.15">
      <c r="A5" s="1" t="s">
        <v>27</v>
      </c>
      <c r="B5" s="1" t="s">
        <v>37</v>
      </c>
      <c r="C5" s="1" t="s">
        <v>38</v>
      </c>
      <c r="D5" s="1" t="s">
        <v>9</v>
      </c>
      <c r="E5" s="1">
        <v>200</v>
      </c>
      <c r="F5" s="1" t="s">
        <v>39</v>
      </c>
      <c r="G5" s="1" t="s">
        <v>39</v>
      </c>
      <c r="H5" s="1" t="s">
        <v>38</v>
      </c>
      <c r="I5" s="1">
        <f>VLOOKUP(H5,[1]pooling!$E$577:$Y$585,21,0)</f>
        <v>137.2578690553029</v>
      </c>
      <c r="J5" s="1">
        <f>VLOOKUP(H5,[1]pooling!$E$577:$L$585,8,0)</f>
        <v>453</v>
      </c>
    </row>
  </sheetData>
  <phoneticPr fontId="2" type="noConversion"/>
  <conditionalFormatting sqref="G2:G5">
    <cfRule type="duplicateValues" dxfId="9" priority="10"/>
  </conditionalFormatting>
  <conditionalFormatting sqref="G2:G5">
    <cfRule type="duplicateValues" dxfId="8" priority="8"/>
    <cfRule type="duplicateValues" dxfId="7" priority="9"/>
  </conditionalFormatting>
  <conditionalFormatting sqref="F2:F5">
    <cfRule type="duplicateValues" dxfId="6" priority="7"/>
  </conditionalFormatting>
  <conditionalFormatting sqref="F2:F5">
    <cfRule type="duplicateValues" dxfId="5" priority="5"/>
    <cfRule type="duplicateValues" dxfId="4" priority="6"/>
  </conditionalFormatting>
  <conditionalFormatting sqref="G1">
    <cfRule type="duplicateValues" dxfId="3" priority="4"/>
  </conditionalFormatting>
  <conditionalFormatting sqref="G1">
    <cfRule type="duplicateValues" dxfId="2" priority="2"/>
    <cfRule type="duplicateValues" dxfId="1" priority="3"/>
  </conditionalFormatting>
  <conditionalFormatting sqref="G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4271F-826F-415E-BB4A-A438924D1B20}">
  <dimension ref="A1:L6"/>
  <sheetViews>
    <sheetView workbookViewId="0">
      <selection activeCell="B19" sqref="B19"/>
    </sheetView>
  </sheetViews>
  <sheetFormatPr defaultRowHeight="13.5" x14ac:dyDescent="0.15"/>
  <cols>
    <col min="1" max="1" width="103.875" customWidth="1"/>
    <col min="2" max="2" width="12.375" customWidth="1"/>
    <col min="3" max="3" width="17.75" customWidth="1"/>
    <col min="4" max="4" width="23.125" customWidth="1"/>
    <col min="5" max="5" width="11.5" customWidth="1"/>
    <col min="6" max="6" width="13.25" customWidth="1"/>
    <col min="7" max="7" width="14" customWidth="1"/>
    <col min="8" max="8" width="15.875" customWidth="1"/>
    <col min="9" max="9" width="13.375" customWidth="1"/>
    <col min="10" max="10" width="20.625" customWidth="1"/>
    <col min="11" max="11" width="14.5" customWidth="1"/>
    <col min="12" max="12" width="12.5" customWidth="1"/>
    <col min="13" max="13" width="14.5" customWidth="1"/>
    <col min="17" max="17" width="13.875" customWidth="1"/>
    <col min="18" max="18" width="15.375" customWidth="1"/>
    <col min="19" max="19" width="20.875" customWidth="1"/>
    <col min="22" max="22" width="13.875" bestFit="1" customWidth="1"/>
  </cols>
  <sheetData>
    <row r="1" spans="1:12" s="2" customFormat="1" ht="12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25</v>
      </c>
      <c r="J1" s="2" t="s">
        <v>26</v>
      </c>
      <c r="L1" s="3"/>
    </row>
    <row r="2" spans="1:12" s="1" customFormat="1" ht="12" customHeight="1" x14ac:dyDescent="0.15">
      <c r="A2" s="1" t="s">
        <v>8</v>
      </c>
      <c r="B2" s="1" t="s">
        <v>10</v>
      </c>
      <c r="C2" s="1" t="s">
        <v>11</v>
      </c>
      <c r="D2" s="1" t="s">
        <v>9</v>
      </c>
      <c r="E2" s="1">
        <v>170</v>
      </c>
      <c r="F2" s="1" t="s">
        <v>12</v>
      </c>
      <c r="G2" s="1" t="s">
        <v>12</v>
      </c>
      <c r="H2" s="1" t="s">
        <v>11</v>
      </c>
      <c r="I2" s="1">
        <f>VLOOKUP(H2,[1]pooling!$E$577:$Y$585,21,0)</f>
        <v>85.376703647795011</v>
      </c>
      <c r="J2" s="1">
        <f>VLOOKUP(H2,[1]pooling!$E$577:$L$585,8,0)</f>
        <v>462</v>
      </c>
    </row>
    <row r="3" spans="1:12" s="1" customFormat="1" ht="12" customHeight="1" x14ac:dyDescent="0.15">
      <c r="A3" s="1" t="s">
        <v>8</v>
      </c>
      <c r="B3" s="1" t="s">
        <v>13</v>
      </c>
      <c r="C3" s="1" t="s">
        <v>14</v>
      </c>
      <c r="D3" s="1" t="s">
        <v>9</v>
      </c>
      <c r="E3" s="1">
        <v>170</v>
      </c>
      <c r="F3" s="1" t="s">
        <v>15</v>
      </c>
      <c r="G3" s="1" t="s">
        <v>15</v>
      </c>
      <c r="H3" s="1" t="s">
        <v>14</v>
      </c>
      <c r="I3" s="1">
        <f>VLOOKUP(H3,[1]pooling!$E$577:$Y$585,21,0)</f>
        <v>100.106298312891</v>
      </c>
      <c r="J3" s="1">
        <f>VLOOKUP(H3,[1]pooling!$E$577:$L$585,8,0)</f>
        <v>450</v>
      </c>
    </row>
    <row r="4" spans="1:12" s="1" customFormat="1" ht="12" customHeight="1" x14ac:dyDescent="0.15">
      <c r="A4" s="1" t="s">
        <v>8</v>
      </c>
      <c r="B4" s="1" t="s">
        <v>16</v>
      </c>
      <c r="C4" s="1" t="s">
        <v>17</v>
      </c>
      <c r="D4" s="1" t="s">
        <v>9</v>
      </c>
      <c r="E4" s="1">
        <v>170</v>
      </c>
      <c r="F4" s="1" t="s">
        <v>18</v>
      </c>
      <c r="G4" s="1" t="s">
        <v>18</v>
      </c>
      <c r="H4" s="1" t="s">
        <v>17</v>
      </c>
      <c r="I4" s="1">
        <f>VLOOKUP(H4,[1]pooling!$E$577:$Y$585,21,0)</f>
        <v>106.05079350746863</v>
      </c>
      <c r="J4" s="1">
        <f>VLOOKUP(H4,[1]pooling!$E$577:$L$585,8,0)</f>
        <v>443</v>
      </c>
    </row>
    <row r="5" spans="1:12" s="1" customFormat="1" ht="12" customHeight="1" x14ac:dyDescent="0.15">
      <c r="A5" s="1" t="s">
        <v>8</v>
      </c>
      <c r="B5" s="1" t="s">
        <v>19</v>
      </c>
      <c r="C5" s="1" t="s">
        <v>20</v>
      </c>
      <c r="D5" s="1" t="s">
        <v>9</v>
      </c>
      <c r="E5" s="1">
        <v>170</v>
      </c>
      <c r="F5" s="1" t="s">
        <v>21</v>
      </c>
      <c r="G5" s="1" t="s">
        <v>21</v>
      </c>
      <c r="H5" s="1" t="s">
        <v>20</v>
      </c>
      <c r="I5" s="1">
        <f>VLOOKUP(H5,[1]pooling!$E$577:$Y$585,21,0)</f>
        <v>130.88788362038571</v>
      </c>
      <c r="J5" s="1">
        <f>VLOOKUP(H5,[1]pooling!$E$577:$L$585,8,0)</f>
        <v>442</v>
      </c>
    </row>
    <row r="6" spans="1:12" s="1" customFormat="1" ht="12" customHeight="1" x14ac:dyDescent="0.15">
      <c r="A6" s="1" t="s">
        <v>8</v>
      </c>
      <c r="B6" s="1" t="s">
        <v>22</v>
      </c>
      <c r="C6" s="1" t="s">
        <v>23</v>
      </c>
      <c r="D6" s="1" t="s">
        <v>9</v>
      </c>
      <c r="E6" s="1">
        <v>170</v>
      </c>
      <c r="F6" s="1" t="s">
        <v>24</v>
      </c>
      <c r="G6" s="1" t="s">
        <v>24</v>
      </c>
      <c r="H6" s="1" t="s">
        <v>23</v>
      </c>
      <c r="I6" s="1">
        <f>VLOOKUP(H6,[1]pooling!$E$577:$Y$585,21,0)</f>
        <v>104.34690831915427</v>
      </c>
      <c r="J6" s="1">
        <f>VLOOKUP(H6,[1]pooling!$E$577:$L$585,8,0)</f>
        <v>438</v>
      </c>
    </row>
  </sheetData>
  <phoneticPr fontId="2" type="noConversion"/>
  <conditionalFormatting sqref="G1">
    <cfRule type="duplicateValues" dxfId="17" priority="9"/>
  </conditionalFormatting>
  <conditionalFormatting sqref="G1">
    <cfRule type="duplicateValues" dxfId="16" priority="7"/>
    <cfRule type="duplicateValues" dxfId="15" priority="8"/>
  </conditionalFormatting>
  <conditionalFormatting sqref="G1">
    <cfRule type="duplicateValues" dxfId="14" priority="6"/>
  </conditionalFormatting>
  <conditionalFormatting sqref="G2:G6">
    <cfRule type="duplicateValues" dxfId="13" priority="4"/>
  </conditionalFormatting>
  <conditionalFormatting sqref="G2:G6">
    <cfRule type="duplicateValues" dxfId="12" priority="2"/>
    <cfRule type="duplicateValues" dxfId="11" priority="3"/>
  </conditionalFormatting>
  <conditionalFormatting sqref="G2:G6">
    <cfRule type="duplicateValues" dxfId="10" priority="1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lane2</vt:lpstr>
      <vt:lpstr>lane3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microanaly</dc:creator>
  <cp:lastModifiedBy>microanaly</cp:lastModifiedBy>
  <dcterms:created xsi:type="dcterms:W3CDTF">2019-01-02T02:32:00Z</dcterms:created>
  <dcterms:modified xsi:type="dcterms:W3CDTF">2019-03-15T02:48:36Z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